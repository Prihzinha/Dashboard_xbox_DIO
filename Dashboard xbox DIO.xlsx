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381490ed9d084d/Documentos/"/>
    </mc:Choice>
  </mc:AlternateContent>
  <xr:revisionPtr revIDLastSave="1" documentId="8_{1D04F6F3-BBE4-49B9-B677-FD6926F5AAB9}" xr6:coauthVersionLast="47" xr6:coauthVersionMax="47" xr10:uidLastSave="{BB5A182E-67B0-47E7-BB80-AAE4D9799027}"/>
  <bookViews>
    <workbookView xWindow="7320" yWindow="0" windowWidth="20145" windowHeight="156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externalReferences>
    <externalReference r:id="rId5"/>
  </externalReferences>
  <definedNames>
    <definedName name="SegmentaçãodeDados_Subscription_Type">#N/A</definedName>
  </definedNames>
  <calcPr calcId="191029"/>
  <pivotCaches>
    <pivotCache cacheId="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3" l="1"/>
  <c r="G11" i="3"/>
</calcChain>
</file>

<file path=xl/sharedStrings.xml><?xml version="1.0" encoding="utf-8"?>
<sst xmlns="http://schemas.openxmlformats.org/spreadsheetml/2006/main" count="2010" uniqueCount="323">
  <si>
    <t>Paleta de Cores</t>
  </si>
  <si>
    <t>Logos</t>
  </si>
  <si>
    <t># 9BC848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</si>
  <si>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</si>
  <si>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</si>
  <si>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</si>
  <si>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</si>
  <si>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</si>
  <si>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</si>
  <si>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</si>
  <si>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</si>
  <si>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</si>
  <si>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</si>
  <si>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</si>
  <si>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</si>
  <si>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</si>
  <si>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</si>
  <si>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</si>
  <si>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</si>
  <si>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</si>
  <si>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</si>
  <si>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</si>
  <si>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</si>
  <si>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</si>
  <si>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</si>
  <si>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</si>
  <si>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</si>
  <si>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</si>
  <si>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</si>
  <si>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</si>
  <si>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</si>
  <si>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</si>
  <si>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</si>
  <si>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</si>
  <si>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</si>
  <si>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</si>
  <si>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</si>
  <si>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</si>
  <si>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</si>
  <si>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</si>
  <si>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</si>
  <si>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</si>
  <si>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</si>
  <si>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</si>
  <si>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</si>
  <si>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</si>
  <si>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</si>
  <si>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</si>
  <si>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</si>
  <si>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</si>
  <si>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</si>
  <si>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</si>
  <si>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</si>
  <si>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</si>
  <si>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</si>
  <si>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</si>
  <si>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</si>
  <si>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</si>
  <si>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</si>
  <si>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</si>
  <si>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</si>
  <si>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</si>
  <si>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</si>
  <si>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</si>
  <si>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</si>
  <si>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</si>
  <si>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</si>
  <si>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</si>
  <si>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</si>
  <si>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</si>
  <si>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</si>
  <si>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</si>
  <si>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</si>
  <si>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</si>
  <si>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</si>
  <si>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</si>
  <si>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</si>
  <si>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</si>
  <si>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</si>
  <si>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</si>
  <si>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</si>
  <si>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</si>
  <si>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</si>
  <si>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</si>
  <si>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</si>
  <si>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</si>
  <si>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</si>
  <si>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</si>
  <si>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</si>
  <si>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</si>
  <si>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</si>
  <si>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</si>
  <si>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</si>
  <si>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</si>
  <si>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</si>
  <si>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</si>
  <si>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</si>
  <si>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</si>
  <si>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</si>
  <si>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</si>
  <si>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</si>
  <si>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</si>
  <si>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</si>
  <si>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</si>
  <si>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</si>
  <si>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</si>
  <si>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</si>
  <si>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</si>
  <si>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</si>
  <si>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</si>
  <si>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</si>
  <si>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</si>
  <si>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</si>
  <si>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</si>
  <si>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</si>
  <si>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</si>
  <si>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</si>
  <si>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</si>
  <si>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</si>
  <si>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</si>
  <si>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</si>
  <si>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</si>
  <si>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</si>
  <si>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</si>
  <si>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</si>
  <si>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</si>
  <si>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</si>
  <si>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</si>
  <si>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</si>
  <si>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</si>
  <si>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</si>
  <si>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</si>
  <si>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</si>
  <si>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</si>
  <si>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</si>
  <si>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</si>
  <si>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</si>
  <si>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</si>
  <si>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</si>
  <si>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</si>
  <si>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</si>
  <si>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</si>
  <si>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</si>
  <si>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</si>
  <si>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</si>
  <si>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</si>
  <si>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</si>
  <si>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</si>
  <si>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</si>
  <si>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</si>
  <si>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</si>
  <si>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</si>
  <si>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</si>
  <si>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</si>
  <si>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</si>
  <si>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</si>
  <si>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</si>
  <si>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</si>
  <si>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</si>
  <si>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</si>
  <si>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</si>
  <si>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</si>
  <si>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</si>
  <si>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</si>
  <si>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</si>
  <si>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</si>
  <si>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</si>
  <si>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</si>
  <si>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</si>
  <si>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</si>
  <si>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</si>
  <si>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</si>
  <si>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</si>
  <si>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</si>
  <si>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</si>
  <si>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</si>
  <si>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</si>
  <si>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</si>
  <si>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</si>
  <si>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</si>
  <si>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</si>
  <si>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</si>
  <si>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</si>
  <si>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</si>
  <si>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</si>
  <si>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</si>
  <si>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</si>
  <si>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</si>
  <si>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</si>
  <si>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</si>
  <si>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</si>
  <si>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</si>
  <si>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</si>
  <si>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</si>
  <si>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</si>
  <si>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</si>
  <si>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</si>
  <si>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</si>
  <si>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</si>
  <si>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</si>
  <si>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</si>
  <si>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</si>
  <si>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</si>
  <si>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</si>
  <si>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</si>
  <si>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</si>
  <si>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</si>
  <si>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</si>
  <si>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</si>
  <si>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</si>
  <si>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</si>
  <si>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</si>
  <si>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</si>
  <si>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</si>
  <si>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</si>
  <si>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</si>
  <si>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</si>
  <si>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</si>
  <si>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</si>
  <si>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</si>
  <si>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</si>
  <si>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</si>
  <si>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</si>
  <si>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</si>
  <si>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</si>
  <si>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</si>
  <si>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</si>
  <si>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</si>
  <si>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</si>
  <si>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</si>
  <si>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</si>
  <si>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</si>
  <si>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</si>
  <si>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</si>
  <si>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</si>
  <si>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</si>
  <si>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</si>
  <si>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</si>
  <si>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</si>
  <si>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</si>
  <si>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</si>
  <si>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</si>
  <si>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</si>
  <si>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</si>
  <si>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</si>
  <si>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</si>
  <si>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</si>
  <si>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</si>
  <si>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</si>
  <si>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</si>
  <si>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</si>
  <si>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</si>
  <si>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</si>
  <si>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</si>
  <si>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</si>
  <si>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</si>
  <si>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</si>
  <si>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</si>
  <si>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</si>
  <si>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</si>
  <si>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</si>
  <si>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</si>
  <si>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</si>
  <si>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</si>
  <si>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</si>
  <si>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</si>
  <si>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</si>
  <si>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</si>
  <si>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</si>
  <si>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</si>
  <si>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</si>
  <si>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</si>
  <si>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</si>
  <si>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</si>
  <si>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</si>
  <si>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</si>
  <si>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</si>
  <si>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</si>
  <si>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</si>
  <si>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</si>
  <si>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</si>
  <si>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</si>
  <si>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</si>
  <si>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</si>
  <si>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</si>
  <si>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</si>
  <si>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</si>
  <si>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</si>
  <si>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</si>
  <si>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</si>
  <si>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</si>
  <si>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</si>
  <si>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</si>
  <si>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</si>
  <si>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</si>
  <si>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</si>
  <si>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</si>
  <si>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</si>
  <si>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</si>
  <si>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</si>
  <si>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</si>
  <si>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</si>
  <si>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</si>
  <si>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</si>
  <si>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</si>
  <si>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</si>
  <si>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</si>
  <si>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</si>
  <si>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</si>
  <si>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</si>
  <si>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</si>
  <si>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</si>
  <si>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1 - Qual faturamento Total de vendas de planos anuais (contendo todas as assinaturas agregadas)</t>
  </si>
  <si>
    <t>2- Qual Faturamento total de vendas de planos anuais, separado por auto renovação não é por auto renovação</t>
  </si>
  <si>
    <t>Rótulos de Linha</t>
  </si>
  <si>
    <t>Total Geral</t>
  </si>
  <si>
    <t>Soma de Total Value</t>
  </si>
  <si>
    <t>(Tudo)</t>
  </si>
  <si>
    <t xml:space="preserve"> XBOX GAME PASS SUBSCRIPTIONS SALES</t>
  </si>
  <si>
    <t>Soma de EA Play Season Pass</t>
  </si>
  <si>
    <t>Soma de Minecraft Season Pass Price</t>
  </si>
  <si>
    <t>#22C55E</t>
  </si>
  <si>
    <t>#E8E6E9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</si>
</sst>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3" applyFont="1"/>
    <xf numFmtId="0" fontId="4" fillId="0" borderId="2" xfId="1" applyFont="1" applyBorder="1" applyAlignment="1">
      <alignment horizontal="center" vertical="center"/>
    </xf>
    <xf numFmtId="0" fontId="0" fillId="8" borderId="0" xfId="0" applyFill="1"/>
    <xf numFmtId="0" fontId="4" fillId="0" borderId="0" xfId="1" applyFont="1" applyBorder="1" applyAlignment="1">
      <alignment horizontal="center" vertical="center"/>
    </xf>
    <xf numFmtId="44" fontId="0" fillId="0" borderId="0" xfId="0" applyNumberFormat="1"/>
    <xf numFmtId="44" fontId="0" fillId="0" borderId="0" xfId="2" applyFont="1"/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8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2"/>
        <color theme="0"/>
      </font>
      <fill>
        <patternFill patternType="solid">
          <bgColor rgb="FF22C55E"/>
        </patternFill>
      </fill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3" pivot="0" table="0" count="6" xr9:uid="{852D59F1-D5AC-4178-9D89-23D43E29D36B}">
      <tableStyleElement type="wholeTable" dxfId="21"/>
      <tableStyleElement type="headerRow" dxfId="20"/>
    </tableStyle>
    <tableStyle name="SlicerStyleLight6 2" pivot="0" table="0" count="10" xr9:uid="{CE2D279A-937F-43EE-99FA-E0F3597455CE}">
      <tableStyleElement type="wholeTable" dxfId="16"/>
      <tableStyleElement type="headerRow" dxfId="15"/>
    </tableStyle>
  </tableStyles>
  <colors>
    <mruColors>
      <color rgb="FF22C55E"/>
      <color rgb="FF4EA72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4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9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3">
          <x14:slicerStyleElements>
            <x14:slicerStyleElement type="selectedItemWithData" dxfId="27"/>
            <x14:slicerStyleElement type="selectedItemWithNoData" dxfId="26"/>
            <x14:slicerStyleElement type="hoveredSelectedItemWithData" dxfId="25"/>
            <x14:slicerStyleElement type="hoveredSelectedItemWithNoData" dxfId="24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DIO.xlsx]C̳álculos!Tabela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8-4770-82CC-260EF92CD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89135"/>
        <c:axId val="22282415"/>
      </c:barChart>
      <c:catAx>
        <c:axId val="2228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82415"/>
        <c:crosses val="autoZero"/>
        <c:auto val="1"/>
        <c:lblAlgn val="ctr"/>
        <c:lblOffset val="100"/>
        <c:noMultiLvlLbl val="0"/>
      </c:catAx>
      <c:valAx>
        <c:axId val="222824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228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DIO.xlsx]C̳álculos!Tabela dinâmica2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cap="none" spc="0" baseline="0">
                  <a:ln w="0"/>
                  <a:solidFill>
                    <a:srgbClr val="4EA72E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rgbClr val="4EA72E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C-4425-81F1-744DA82A1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2289135"/>
        <c:axId val="22282415"/>
      </c:barChart>
      <c:catAx>
        <c:axId val="2228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82415"/>
        <c:crosses val="autoZero"/>
        <c:auto val="1"/>
        <c:lblAlgn val="ctr"/>
        <c:lblOffset val="100"/>
        <c:noMultiLvlLbl val="0"/>
      </c:catAx>
      <c:valAx>
        <c:axId val="222824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228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538162</xdr:colOff>
      <xdr:row>13</xdr:row>
      <xdr:rowOff>185737</xdr:rowOff>
    </xdr:from>
    <xdr:to>
      <xdr:col>3</xdr:col>
      <xdr:colOff>1985962</xdr:colOff>
      <xdr:row>28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2B3A53-3789-C39D-365F-F63D7774A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228600</xdr:colOff>
      <xdr:row>6</xdr:row>
      <xdr:rowOff>28575</xdr:rowOff>
    </xdr:from>
    <xdr:to>
      <xdr:col>4</xdr:col>
      <xdr:colOff>19050</xdr:colOff>
      <xdr:row>13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9B2A9044-DE27-4FC8-7930-58A95472BA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1171575"/>
              <a:ext cx="18288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64294</xdr:colOff>
      <xdr:row>0</xdr:row>
      <xdr:rowOff>27679</xdr:rowOff>
    </xdr:from>
    <xdr:to>
      <xdr:col>1</xdr:col>
      <xdr:colOff>2845593</xdr:colOff>
      <xdr:row>1</xdr:row>
      <xdr:rowOff>22098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0ECC1C-9525-4CD6-A5F6-DC209029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4" y="27679"/>
          <a:ext cx="3043237" cy="1077888"/>
        </a:xfrm>
        <a:prstGeom prst="rect">
          <a:avLst/>
        </a:prstGeom>
      </xdr:spPr>
    </xdr:pic>
    <xdr:clientData/>
  </xdr:twoCellAnchor>
  <xdr:twoCellAnchor>
    <xdr:from>
      <xdr:col>8</xdr:col>
      <xdr:colOff>283369</xdr:colOff>
      <xdr:row>0</xdr:row>
      <xdr:rowOff>107156</xdr:rowOff>
    </xdr:from>
    <xdr:to>
      <xdr:col>9</xdr:col>
      <xdr:colOff>371476</xdr:colOff>
      <xdr:row>0</xdr:row>
      <xdr:rowOff>802481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98A350E-81D4-4C41-8402-998A2AE03186}"/>
            </a:ext>
          </a:extLst>
        </xdr:cNvPr>
        <xdr:cNvSpPr/>
      </xdr:nvSpPr>
      <xdr:spPr>
        <a:xfrm>
          <a:off x="8546307" y="107156"/>
          <a:ext cx="695325" cy="69532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4</xdr:col>
      <xdr:colOff>60443</xdr:colOff>
      <xdr:row>3</xdr:row>
      <xdr:rowOff>83344</xdr:rowOff>
    </xdr:from>
    <xdr:to>
      <xdr:col>12</xdr:col>
      <xdr:colOff>0</xdr:colOff>
      <xdr:row>4</xdr:row>
      <xdr:rowOff>178600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7CF73A4-69CE-4D59-A233-E3BF7E68A6F6}"/>
            </a:ext>
          </a:extLst>
        </xdr:cNvPr>
        <xdr:cNvSpPr/>
      </xdr:nvSpPr>
      <xdr:spPr>
        <a:xfrm>
          <a:off x="5894506" y="1654969"/>
          <a:ext cx="4630619" cy="22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1</xdr:col>
      <xdr:colOff>142874</xdr:colOff>
      <xdr:row>4</xdr:row>
      <xdr:rowOff>142875</xdr:rowOff>
    </xdr:from>
    <xdr:to>
      <xdr:col>2</xdr:col>
      <xdr:colOff>166687</xdr:colOff>
      <xdr:row>5</xdr:row>
      <xdr:rowOff>214312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A6C1C648-07BC-4083-A9FF-2AD70EDD29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812" y="1845469"/>
              <a:ext cx="4381500" cy="678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238125</xdr:colOff>
      <xdr:row>6</xdr:row>
      <xdr:rowOff>59531</xdr:rowOff>
    </xdr:from>
    <xdr:to>
      <xdr:col>2</xdr:col>
      <xdr:colOff>320147</xdr:colOff>
      <xdr:row>8</xdr:row>
      <xdr:rowOff>507472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BD43DC5C-3A1E-4B1A-4834-92B29AC51594}"/>
            </a:ext>
          </a:extLst>
        </xdr:cNvPr>
        <xdr:cNvGrpSpPr/>
      </xdr:nvGrpSpPr>
      <xdr:grpSpPr>
        <a:xfrm>
          <a:off x="238125" y="2976562"/>
          <a:ext cx="4701647" cy="1662379"/>
          <a:chOff x="238125" y="2983706"/>
          <a:chExt cx="4692122" cy="1667141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9BC3D65-4E1C-D5C1-2D48-D9DAD60B200E}"/>
              </a:ext>
            </a:extLst>
          </xdr:cNvPr>
          <xdr:cNvSpPr/>
        </xdr:nvSpPr>
        <xdr:spPr>
          <a:xfrm>
            <a:off x="238125" y="3043936"/>
            <a:ext cx="4692122" cy="1529818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G11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6CB0F14-2FE2-AFAE-A927-4E30FD8E8486}"/>
              </a:ext>
            </a:extLst>
          </xdr:cNvPr>
          <xdr:cNvSpPr/>
        </xdr:nvSpPr>
        <xdr:spPr>
          <a:xfrm>
            <a:off x="1373281" y="3557088"/>
            <a:ext cx="3050479" cy="954028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682991C-7204-4E71-AEA4-E64FD79FA07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R$ 600,00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A594665C-3075-987A-9773-889FBCA569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4130" y="3417356"/>
            <a:ext cx="1228832" cy="1233491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51B9D822-49A8-7734-BFA4-ADE180E50F6B}"/>
              </a:ext>
            </a:extLst>
          </xdr:cNvPr>
          <xdr:cNvSpPr/>
        </xdr:nvSpPr>
        <xdr:spPr>
          <a:xfrm>
            <a:off x="238125" y="2983706"/>
            <a:ext cx="4692122" cy="45774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2</xdr:col>
      <xdr:colOff>559594</xdr:colOff>
      <xdr:row>6</xdr:row>
      <xdr:rowOff>83344</xdr:rowOff>
    </xdr:from>
    <xdr:to>
      <xdr:col>10</xdr:col>
      <xdr:colOff>396875</xdr:colOff>
      <xdr:row>8</xdr:row>
      <xdr:rowOff>455084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5093DDD-65D1-9828-19D1-F1678276B7F1}"/>
            </a:ext>
          </a:extLst>
        </xdr:cNvPr>
        <xdr:cNvGrpSpPr/>
      </xdr:nvGrpSpPr>
      <xdr:grpSpPr>
        <a:xfrm>
          <a:off x="5179219" y="3000375"/>
          <a:ext cx="4695031" cy="1586178"/>
          <a:chOff x="5169694" y="3007519"/>
          <a:chExt cx="4714081" cy="159094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EC9F0D4B-4C8B-C2DD-ABEF-05BB8C571D05}"/>
              </a:ext>
            </a:extLst>
          </xdr:cNvPr>
          <xdr:cNvSpPr/>
        </xdr:nvSpPr>
        <xdr:spPr>
          <a:xfrm>
            <a:off x="5169694" y="3067782"/>
            <a:ext cx="4714081" cy="1530677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G17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1417D1E-C9F9-99F8-94CE-91866E584825}"/>
              </a:ext>
            </a:extLst>
          </xdr:cNvPr>
          <xdr:cNvSpPr/>
        </xdr:nvSpPr>
        <xdr:spPr>
          <a:xfrm>
            <a:off x="6300593" y="3581222"/>
            <a:ext cx="3064756" cy="954564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1FD1E01-6059-49B3-88B7-7088A1F623DF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D99A2CA5-DC0E-C6FE-B764-C24DD5517B7B}"/>
              </a:ext>
            </a:extLst>
          </xdr:cNvPr>
          <xdr:cNvSpPr/>
        </xdr:nvSpPr>
        <xdr:spPr>
          <a:xfrm>
            <a:off x="5169694" y="3007519"/>
            <a:ext cx="4714081" cy="45799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1E1E123-1686-C914-54E6-815FFDAA64EF}"/>
              </a:ext>
            </a:extLst>
          </xdr:cNvPr>
          <xdr:cNvGrpSpPr/>
        </xdr:nvGrpSpPr>
        <xdr:grpSpPr>
          <a:xfrm>
            <a:off x="5340897" y="3721032"/>
            <a:ext cx="1097137" cy="590576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07FAA470-7486-8405-AF67-E9ECE75073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71D0BF88-E57A-247A-00A7-932D12D8FC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251414</xdr:colOff>
      <xdr:row>9</xdr:row>
      <xdr:rowOff>397566</xdr:rowOff>
    </xdr:from>
    <xdr:to>
      <xdr:col>10</xdr:col>
      <xdr:colOff>444328</xdr:colOff>
      <xdr:row>16</xdr:row>
      <xdr:rowOff>338034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0B33AE59-0406-96BB-5CB9-4CEB8A338C12}"/>
            </a:ext>
          </a:extLst>
        </xdr:cNvPr>
        <xdr:cNvGrpSpPr/>
      </xdr:nvGrpSpPr>
      <xdr:grpSpPr>
        <a:xfrm>
          <a:off x="251414" y="5136254"/>
          <a:ext cx="9670289" cy="3298030"/>
          <a:chOff x="2309814" y="1190625"/>
          <a:chExt cx="10275092" cy="2917032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43363A03-1B64-BE36-BE04-E34E3A607B3C}"/>
              </a:ext>
            </a:extLst>
          </xdr:cNvPr>
          <xdr:cNvSpPr/>
        </xdr:nvSpPr>
        <xdr:spPr>
          <a:xfrm>
            <a:off x="2309814" y="1190625"/>
            <a:ext cx="10275092" cy="2917032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41121C6E-E944-E96C-6C61-922A7AD92356}"/>
              </a:ext>
            </a:extLst>
          </xdr:cNvPr>
          <xdr:cNvGraphicFramePr>
            <a:graphicFrameLocks/>
          </xdr:cNvGraphicFramePr>
        </xdr:nvGraphicFramePr>
        <xdr:xfrm>
          <a:off x="2483645" y="1345406"/>
          <a:ext cx="9886947" cy="2707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0</xdr:col>
      <xdr:colOff>240196</xdr:colOff>
      <xdr:row>9</xdr:row>
      <xdr:rowOff>397565</xdr:rowOff>
    </xdr:from>
    <xdr:to>
      <xdr:col>10</xdr:col>
      <xdr:colOff>455544</xdr:colOff>
      <xdr:row>10</xdr:row>
      <xdr:rowOff>241055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682DADDA-99C8-431B-9463-1C4804547B06}"/>
            </a:ext>
          </a:extLst>
        </xdr:cNvPr>
        <xdr:cNvSpPr/>
      </xdr:nvSpPr>
      <xdr:spPr>
        <a:xfrm>
          <a:off x="240196" y="5150540"/>
          <a:ext cx="9702248" cy="45309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85725</xdr:colOff>
      <xdr:row>10</xdr:row>
      <xdr:rowOff>209550</xdr:rowOff>
    </xdr:from>
    <xdr:to>
      <xdr:col>10</xdr:col>
      <xdr:colOff>380999</xdr:colOff>
      <xdr:row>16</xdr:row>
      <xdr:rowOff>285750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8ADB02B-F215-4B6F-8DF4-8F8B6110A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7</xdr:col>
      <xdr:colOff>523875</xdr:colOff>
      <xdr:row>0</xdr:row>
      <xdr:rowOff>833438</xdr:rowOff>
    </xdr:from>
    <xdr:to>
      <xdr:col>10</xdr:col>
      <xdr:colOff>130969</xdr:colOff>
      <xdr:row>1</xdr:row>
      <xdr:rowOff>11906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3B2FD5CC-827F-4840-8B68-BF24B1669132}"/>
            </a:ext>
          </a:extLst>
        </xdr:cNvPr>
        <xdr:cNvSpPr/>
      </xdr:nvSpPr>
      <xdr:spPr>
        <a:xfrm>
          <a:off x="8179594" y="833438"/>
          <a:ext cx="1428750" cy="2619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sc\Downloads\0120950e-64c8-4092-a257-ba22ed198c69.xlsx" TargetMode="External"/><Relationship Id="rId1" Type="http://schemas.openxmlformats.org/officeDocument/2006/relationships/externalLinkPath" Target="file:///C:\Users\prisc\Downloads\0120950e-64c8-4092-a257-ba22ed198c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a Rodrigues" refreshedDate="46068.776281944447" createdVersion="8" refreshedVersion="8" minRefreshableVersion="3" recordCount="295" xr:uid="{E43EF3B8-DDDB-4065-BAD3-20661A728BE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239079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x v="0"/>
    <x v="0"/>
    <x v="0"/>
    <n v="20"/>
    <n v="5"/>
    <n v="60"/>
  </r>
  <r>
    <n v="3232"/>
    <s v="Maria Oliveira"/>
    <s v="Core"/>
    <d v="2024-01-15T00:00:00"/>
    <x v="1"/>
    <n v="5"/>
    <x v="1"/>
    <x v="1"/>
    <x v="1"/>
    <x v="1"/>
    <n v="0"/>
    <n v="0"/>
    <n v="5"/>
  </r>
  <r>
    <n v="3233"/>
    <s v="Lucas Fernandes"/>
    <s v="Standard"/>
    <d v="2024-02-10T00:00:00"/>
    <x v="0"/>
    <n v="10"/>
    <x v="2"/>
    <x v="1"/>
    <x v="1"/>
    <x v="0"/>
    <n v="20"/>
    <n v="10"/>
    <n v="20"/>
  </r>
  <r>
    <n v="3234"/>
    <s v="Ana Souza"/>
    <s v="Ultimate"/>
    <d v="2024-02-20T00:00:00"/>
    <x v="1"/>
    <n v="15"/>
    <x v="0"/>
    <x v="0"/>
    <x v="0"/>
    <x v="0"/>
    <n v="20"/>
    <n v="3"/>
    <n v="62"/>
  </r>
  <r>
    <n v="3235"/>
    <s v="Pedro Gonçalves"/>
    <s v="Core"/>
    <d v="2024-03-05T00:00:00"/>
    <x v="0"/>
    <n v="5"/>
    <x v="0"/>
    <x v="1"/>
    <x v="1"/>
    <x v="1"/>
    <n v="0"/>
    <n v="1"/>
    <n v="4"/>
  </r>
  <r>
    <n v="3236"/>
    <s v="Felipe Costa"/>
    <s v="Standard"/>
    <d v="2024-03-02T00:00:00"/>
    <x v="1"/>
    <n v="10"/>
    <x v="0"/>
    <x v="1"/>
    <x v="1"/>
    <x v="0"/>
    <n v="20"/>
    <n v="2"/>
    <n v="28"/>
  </r>
  <r>
    <n v="3237"/>
    <s v="Camila Ribeiro"/>
    <s v="Ultimate"/>
    <d v="2024-03-03T00:00:00"/>
    <x v="0"/>
    <n v="15"/>
    <x v="2"/>
    <x v="0"/>
    <x v="0"/>
    <x v="0"/>
    <n v="20"/>
    <n v="10"/>
    <n v="55"/>
  </r>
  <r>
    <n v="3238"/>
    <s v="André Mendes"/>
    <s v="Core"/>
    <d v="2024-03-04T00:00:00"/>
    <x v="0"/>
    <n v="5"/>
    <x v="1"/>
    <x v="1"/>
    <x v="1"/>
    <x v="1"/>
    <n v="0"/>
    <n v="0"/>
    <n v="5"/>
  </r>
  <r>
    <n v="3239"/>
    <s v="Sofia Almeida"/>
    <s v="Ultimate"/>
    <d v="2024-03-05T00:00:00"/>
    <x v="1"/>
    <n v="15"/>
    <x v="0"/>
    <x v="0"/>
    <x v="0"/>
    <x v="0"/>
    <n v="20"/>
    <n v="5"/>
    <n v="60"/>
  </r>
  <r>
    <n v="3240"/>
    <s v="Bruno Martins"/>
    <s v="Standard"/>
    <d v="2024-03-06T00:00:00"/>
    <x v="0"/>
    <n v="10"/>
    <x v="2"/>
    <x v="1"/>
    <x v="1"/>
    <x v="0"/>
    <n v="20"/>
    <n v="15"/>
    <n v="15"/>
  </r>
  <r>
    <n v="3241"/>
    <s v="Rita Castro"/>
    <s v="Core"/>
    <d v="2024-03-07T00:00:00"/>
    <x v="1"/>
    <n v="5"/>
    <x v="0"/>
    <x v="1"/>
    <x v="1"/>
    <x v="1"/>
    <n v="0"/>
    <n v="1"/>
    <n v="4"/>
  </r>
  <r>
    <n v="3242"/>
    <s v="Marco Túlio"/>
    <s v="Ultimate"/>
    <d v="2024-03-08T00:00:00"/>
    <x v="0"/>
    <n v="15"/>
    <x v="1"/>
    <x v="0"/>
    <x v="0"/>
    <x v="0"/>
    <n v="20"/>
    <n v="20"/>
    <n v="45"/>
  </r>
  <r>
    <n v="3243"/>
    <s v="Lívia Silveira"/>
    <s v="Standard"/>
    <d v="2024-03-09T00:00:00"/>
    <x v="1"/>
    <n v="10"/>
    <x v="0"/>
    <x v="1"/>
    <x v="1"/>
    <x v="0"/>
    <n v="20"/>
    <n v="10"/>
    <n v="20"/>
  </r>
  <r>
    <n v="3244"/>
    <s v="Diogo Sousa"/>
    <s v="Core"/>
    <d v="2024-03-10T00:00:00"/>
    <x v="0"/>
    <n v="5"/>
    <x v="2"/>
    <x v="1"/>
    <x v="1"/>
    <x v="1"/>
    <n v="0"/>
    <n v="0"/>
    <n v="5"/>
  </r>
  <r>
    <n v="3245"/>
    <s v="Fernanda Lima"/>
    <s v="Ultimate"/>
    <d v="2024-03-11T00:00:00"/>
    <x v="1"/>
    <n v="15"/>
    <x v="0"/>
    <x v="0"/>
    <x v="0"/>
    <x v="0"/>
    <n v="20"/>
    <n v="8"/>
    <n v="57"/>
  </r>
  <r>
    <n v="3246"/>
    <s v="Caio Pereira"/>
    <s v="Standard"/>
    <d v="2024-03-12T00:00:00"/>
    <x v="0"/>
    <n v="10"/>
    <x v="1"/>
    <x v="1"/>
    <x v="1"/>
    <x v="0"/>
    <n v="20"/>
    <n v="12"/>
    <n v="18"/>
  </r>
  <r>
    <n v="3247"/>
    <s v="Beatriz Gomes"/>
    <s v="Core"/>
    <d v="2024-03-13T00:00:00"/>
    <x v="1"/>
    <n v="5"/>
    <x v="0"/>
    <x v="1"/>
    <x v="1"/>
    <x v="1"/>
    <n v="0"/>
    <n v="2"/>
    <n v="3"/>
  </r>
  <r>
    <n v="3248"/>
    <s v="Cesar Oliveira"/>
    <s v="Ultimate"/>
    <d v="2024-03-14T00:00:00"/>
    <x v="0"/>
    <n v="15"/>
    <x v="2"/>
    <x v="0"/>
    <x v="0"/>
    <x v="0"/>
    <n v="20"/>
    <n v="7"/>
    <n v="58"/>
  </r>
  <r>
    <n v="3249"/>
    <s v="Débora Machado"/>
    <s v="Standard"/>
    <d v="2024-03-15T00:00:00"/>
    <x v="1"/>
    <n v="10"/>
    <x v="0"/>
    <x v="1"/>
    <x v="1"/>
    <x v="0"/>
    <n v="20"/>
    <n v="5"/>
    <n v="25"/>
  </r>
  <r>
    <n v="3250"/>
    <s v="Eduardo Vargas"/>
    <s v="Core"/>
    <d v="2024-03-16T00:00:00"/>
    <x v="0"/>
    <n v="5"/>
    <x v="1"/>
    <x v="1"/>
    <x v="1"/>
    <x v="1"/>
    <n v="0"/>
    <n v="0"/>
    <n v="5"/>
  </r>
  <r>
    <n v="3251"/>
    <s v="Gabriela Santos"/>
    <s v="Ultimate"/>
    <d v="2024-03-17T00:00:00"/>
    <x v="1"/>
    <n v="15"/>
    <x v="0"/>
    <x v="0"/>
    <x v="0"/>
    <x v="0"/>
    <n v="20"/>
    <n v="3"/>
    <n v="62"/>
  </r>
  <r>
    <n v="3252"/>
    <s v="Henrique Dias"/>
    <s v="Standard"/>
    <d v="2024-03-18T00:00:00"/>
    <x v="0"/>
    <n v="10"/>
    <x v="2"/>
    <x v="1"/>
    <x v="1"/>
    <x v="0"/>
    <n v="20"/>
    <n v="15"/>
    <n v="15"/>
  </r>
  <r>
    <n v="3253"/>
    <s v="Isabela Moreira"/>
    <s v="Core"/>
    <d v="2024-03-19T00:00:00"/>
    <x v="1"/>
    <n v="5"/>
    <x v="0"/>
    <x v="1"/>
    <x v="1"/>
    <x v="1"/>
    <n v="0"/>
    <n v="1"/>
    <n v="4"/>
  </r>
  <r>
    <n v="3254"/>
    <s v="Joaquim Barbosa"/>
    <s v="Ultimate"/>
    <d v="2024-03-20T00:00:00"/>
    <x v="0"/>
    <n v="15"/>
    <x v="1"/>
    <x v="0"/>
    <x v="0"/>
    <x v="0"/>
    <n v="20"/>
    <n v="20"/>
    <n v="45"/>
  </r>
  <r>
    <n v="3255"/>
    <s v="Lara Rocha"/>
    <s v="Standard"/>
    <d v="2024-03-21T00:00:00"/>
    <x v="1"/>
    <n v="10"/>
    <x v="0"/>
    <x v="1"/>
    <x v="1"/>
    <x v="0"/>
    <n v="20"/>
    <n v="10"/>
    <n v="20"/>
  </r>
  <r>
    <n v="3256"/>
    <s v="Matheus Silva"/>
    <s v="Core"/>
    <d v="2024-03-22T00:00:00"/>
    <x v="0"/>
    <n v="5"/>
    <x v="2"/>
    <x v="1"/>
    <x v="1"/>
    <x v="1"/>
    <n v="0"/>
    <n v="0"/>
    <n v="5"/>
  </r>
  <r>
    <n v="3257"/>
    <s v="Nicole Costa"/>
    <s v="Ultimate"/>
    <d v="2024-03-23T00:00:00"/>
    <x v="1"/>
    <n v="15"/>
    <x v="0"/>
    <x v="0"/>
    <x v="0"/>
    <x v="0"/>
    <n v="20"/>
    <n v="5"/>
    <n v="60"/>
  </r>
  <r>
    <n v="3258"/>
    <s v="Otávio Mendonça"/>
    <s v="Standard"/>
    <d v="2024-03-24T00:00:00"/>
    <x v="0"/>
    <n v="10"/>
    <x v="1"/>
    <x v="1"/>
    <x v="1"/>
    <x v="0"/>
    <n v="20"/>
    <n v="15"/>
    <n v="15"/>
  </r>
  <r>
    <n v="3259"/>
    <s v="Paula Ferreira"/>
    <s v="Core"/>
    <d v="2024-03-25T00:00:00"/>
    <x v="1"/>
    <n v="5"/>
    <x v="0"/>
    <x v="1"/>
    <x v="1"/>
    <x v="1"/>
    <n v="0"/>
    <n v="1"/>
    <n v="4"/>
  </r>
  <r>
    <n v="3260"/>
    <s v="Raquel Alves"/>
    <s v="Ultimate"/>
    <d v="2024-03-26T00:00:00"/>
    <x v="0"/>
    <n v="15"/>
    <x v="2"/>
    <x v="0"/>
    <x v="0"/>
    <x v="0"/>
    <n v="20"/>
    <n v="7"/>
    <n v="58"/>
  </r>
  <r>
    <n v="3261"/>
    <s v="Samuel Pires"/>
    <s v="Standard"/>
    <d v="2024-03-27T00:00:00"/>
    <x v="1"/>
    <n v="10"/>
    <x v="0"/>
    <x v="1"/>
    <x v="1"/>
    <x v="0"/>
    <n v="20"/>
    <n v="10"/>
    <n v="20"/>
  </r>
  <r>
    <n v="3262"/>
    <s v="Tânia Barros"/>
    <s v="Core"/>
    <d v="2024-03-28T00:00:00"/>
    <x v="0"/>
    <n v="5"/>
    <x v="1"/>
    <x v="1"/>
    <x v="1"/>
    <x v="1"/>
    <n v="0"/>
    <n v="0"/>
    <n v="5"/>
  </r>
  <r>
    <n v="3263"/>
    <s v="Vinicius Lima"/>
    <s v="Ultimate"/>
    <d v="2024-03-29T00:00:00"/>
    <x v="1"/>
    <n v="15"/>
    <x v="0"/>
    <x v="0"/>
    <x v="0"/>
    <x v="0"/>
    <n v="20"/>
    <n v="3"/>
    <n v="62"/>
  </r>
  <r>
    <n v="3264"/>
    <s v="Yasmin Teixeira"/>
    <s v="Standard"/>
    <d v="2024-03-30T00:00:00"/>
    <x v="0"/>
    <n v="10"/>
    <x v="2"/>
    <x v="1"/>
    <x v="1"/>
    <x v="0"/>
    <n v="20"/>
    <n v="15"/>
    <n v="15"/>
  </r>
  <r>
    <n v="3265"/>
    <s v="Zé Carlos"/>
    <s v="Core"/>
    <d v="2024-03-31T00:00:00"/>
    <x v="1"/>
    <n v="5"/>
    <x v="0"/>
    <x v="1"/>
    <x v="1"/>
    <x v="1"/>
    <n v="0"/>
    <n v="1"/>
    <n v="4"/>
  </r>
  <r>
    <n v="3266"/>
    <s v="Amanda Nogueira"/>
    <s v="Core"/>
    <d v="2024-04-01T00:00:00"/>
    <x v="0"/>
    <n v="5"/>
    <x v="0"/>
    <x v="1"/>
    <x v="1"/>
    <x v="1"/>
    <n v="0"/>
    <n v="0"/>
    <n v="5"/>
  </r>
  <r>
    <n v="3267"/>
    <s v="Bruno Cavalheiro"/>
    <s v="Ultimate"/>
    <d v="2024-04-02T00:00:00"/>
    <x v="1"/>
    <n v="15"/>
    <x v="2"/>
    <x v="0"/>
    <x v="0"/>
    <x v="0"/>
    <n v="20"/>
    <n v="7"/>
    <n v="58"/>
  </r>
  <r>
    <n v="3268"/>
    <s v="Carla Dias"/>
    <s v="Standard"/>
    <d v="2024-04-03T00:00:00"/>
    <x v="0"/>
    <n v="10"/>
    <x v="1"/>
    <x v="1"/>
    <x v="1"/>
    <x v="0"/>
    <n v="20"/>
    <n v="10"/>
    <n v="20"/>
  </r>
  <r>
    <n v="3269"/>
    <s v="Diego Fontes"/>
    <s v="Core"/>
    <d v="2024-04-04T00:00:00"/>
    <x v="1"/>
    <n v="5"/>
    <x v="2"/>
    <x v="1"/>
    <x v="1"/>
    <x v="1"/>
    <n v="0"/>
    <n v="1"/>
    <n v="4"/>
  </r>
  <r>
    <n v="3270"/>
    <s v="Eunice Lima"/>
    <s v="Ultimate"/>
    <d v="2024-04-05T00:00:00"/>
    <x v="0"/>
    <n v="15"/>
    <x v="0"/>
    <x v="0"/>
    <x v="0"/>
    <x v="0"/>
    <n v="20"/>
    <n v="15"/>
    <n v="50"/>
  </r>
  <r>
    <n v="3271"/>
    <s v="Fábio Martins"/>
    <s v="Standard"/>
    <d v="2024-04-06T00:00:00"/>
    <x v="1"/>
    <n v="10"/>
    <x v="0"/>
    <x v="1"/>
    <x v="1"/>
    <x v="0"/>
    <n v="20"/>
    <n v="5"/>
    <n v="25"/>
  </r>
  <r>
    <n v="3272"/>
    <s v="Gisele Araújo"/>
    <s v="Core"/>
    <d v="2024-04-07T00:00:00"/>
    <x v="0"/>
    <n v="5"/>
    <x v="1"/>
    <x v="1"/>
    <x v="1"/>
    <x v="1"/>
    <n v="0"/>
    <n v="0"/>
    <n v="5"/>
  </r>
  <r>
    <n v="3273"/>
    <s v="Hélio Castro"/>
    <s v="Ultimate"/>
    <d v="2024-04-08T00:00:00"/>
    <x v="1"/>
    <n v="15"/>
    <x v="2"/>
    <x v="0"/>
    <x v="0"/>
    <x v="0"/>
    <n v="20"/>
    <n v="20"/>
    <n v="45"/>
  </r>
  <r>
    <n v="3274"/>
    <s v="Ingrid Menezes"/>
    <s v="Standard"/>
    <d v="2024-04-09T00:00:00"/>
    <x v="0"/>
    <n v="10"/>
    <x v="2"/>
    <x v="1"/>
    <x v="1"/>
    <x v="0"/>
    <n v="20"/>
    <n v="12"/>
    <n v="18"/>
  </r>
  <r>
    <n v="3275"/>
    <s v="Jorge Baptista"/>
    <s v="Core"/>
    <d v="2024-04-10T00:00:00"/>
    <x v="1"/>
    <n v="5"/>
    <x v="0"/>
    <x v="1"/>
    <x v="1"/>
    <x v="1"/>
    <n v="0"/>
    <n v="2"/>
    <n v="3"/>
  </r>
  <r>
    <n v="3276"/>
    <s v="Kléber Oliveira"/>
    <s v="Ultimate"/>
    <d v="2024-04-11T00:00:00"/>
    <x v="0"/>
    <n v="15"/>
    <x v="1"/>
    <x v="0"/>
    <x v="0"/>
    <x v="0"/>
    <n v="20"/>
    <n v="5"/>
    <n v="60"/>
  </r>
  <r>
    <n v="3277"/>
    <s v="Luciana Freitas"/>
    <s v="Standard"/>
    <d v="2024-04-12T00:00:00"/>
    <x v="1"/>
    <n v="10"/>
    <x v="0"/>
    <x v="1"/>
    <x v="1"/>
    <x v="0"/>
    <n v="20"/>
    <n v="10"/>
    <n v="20"/>
  </r>
  <r>
    <n v="3278"/>
    <s v="Márcia Eller"/>
    <s v="Core"/>
    <d v="2024-04-13T00:00:00"/>
    <x v="0"/>
    <n v="5"/>
    <x v="2"/>
    <x v="1"/>
    <x v="1"/>
    <x v="1"/>
    <n v="0"/>
    <n v="0"/>
    <n v="5"/>
  </r>
  <r>
    <n v="3279"/>
    <s v="Nilo Peçanha"/>
    <s v="Ultimate"/>
    <d v="2024-04-14T00:00:00"/>
    <x v="1"/>
    <n v="15"/>
    <x v="0"/>
    <x v="0"/>
    <x v="0"/>
    <x v="0"/>
    <n v="20"/>
    <n v="3"/>
    <n v="62"/>
  </r>
  <r>
    <n v="3280"/>
    <s v="Oscar Neves"/>
    <s v="Standard"/>
    <d v="2024-04-15T00:00:00"/>
    <x v="0"/>
    <n v="10"/>
    <x v="1"/>
    <x v="1"/>
    <x v="1"/>
    <x v="0"/>
    <n v="20"/>
    <n v="15"/>
    <n v="15"/>
  </r>
  <r>
    <n v="3281"/>
    <s v="Patrícia Soares"/>
    <s v="Core"/>
    <d v="2024-04-16T00:00:00"/>
    <x v="1"/>
    <n v="5"/>
    <x v="0"/>
    <x v="1"/>
    <x v="1"/>
    <x v="1"/>
    <n v="0"/>
    <n v="1"/>
    <n v="4"/>
  </r>
  <r>
    <n v="3282"/>
    <s v="Quirino Gonçalves"/>
    <s v="Ultimate"/>
    <d v="2024-04-17T00:00:00"/>
    <x v="0"/>
    <n v="15"/>
    <x v="2"/>
    <x v="0"/>
    <x v="0"/>
    <x v="0"/>
    <n v="20"/>
    <n v="7"/>
    <n v="58"/>
  </r>
  <r>
    <n v="3283"/>
    <s v="Raul Machado"/>
    <s v="Standard"/>
    <d v="2024-04-18T00:00:00"/>
    <x v="1"/>
    <n v="10"/>
    <x v="0"/>
    <x v="1"/>
    <x v="1"/>
    <x v="0"/>
    <n v="20"/>
    <n v="10"/>
    <n v="20"/>
  </r>
  <r>
    <n v="3284"/>
    <s v="Sônia Lobo"/>
    <s v="Core"/>
    <d v="2024-04-19T00:00:00"/>
    <x v="0"/>
    <n v="5"/>
    <x v="1"/>
    <x v="1"/>
    <x v="1"/>
    <x v="1"/>
    <n v="0"/>
    <n v="0"/>
    <n v="5"/>
  </r>
  <r>
    <n v="3285"/>
    <s v="Tiago Ramos"/>
    <s v="Ultimate"/>
    <d v="2024-04-20T00:00:00"/>
    <x v="1"/>
    <n v="15"/>
    <x v="0"/>
    <x v="0"/>
    <x v="0"/>
    <x v="0"/>
    <n v="20"/>
    <n v="20"/>
    <n v="45"/>
  </r>
  <r>
    <n v="3286"/>
    <s v="Ugo Pires"/>
    <s v="Standard"/>
    <d v="2024-04-21T00:00:00"/>
    <x v="0"/>
    <n v="10"/>
    <x v="2"/>
    <x v="1"/>
    <x v="1"/>
    <x v="0"/>
    <n v="20"/>
    <n v="15"/>
    <n v="15"/>
  </r>
  <r>
    <n v="3287"/>
    <s v="Valéria Nobre"/>
    <s v="Core"/>
    <d v="2024-04-22T00:00:00"/>
    <x v="1"/>
    <n v="5"/>
    <x v="0"/>
    <x v="1"/>
    <x v="1"/>
    <x v="1"/>
    <n v="0"/>
    <n v="1"/>
    <n v="4"/>
  </r>
  <r>
    <n v="3288"/>
    <s v="William Siqueira"/>
    <s v="Ultimate"/>
    <d v="2024-04-23T00:00:00"/>
    <x v="0"/>
    <n v="15"/>
    <x v="1"/>
    <x v="0"/>
    <x v="0"/>
    <x v="0"/>
    <n v="20"/>
    <n v="3"/>
    <n v="62"/>
  </r>
  <r>
    <n v="3289"/>
    <s v="Xuxa Meneghel"/>
    <s v="Standard"/>
    <d v="2024-04-24T00:00:00"/>
    <x v="1"/>
    <n v="10"/>
    <x v="0"/>
    <x v="1"/>
    <x v="1"/>
    <x v="0"/>
    <n v="20"/>
    <n v="10"/>
    <n v="20"/>
  </r>
  <r>
    <n v="3290"/>
    <s v="Yara Figueiredo"/>
    <s v="Core"/>
    <d v="2024-04-25T00:00:00"/>
    <x v="0"/>
    <n v="5"/>
    <x v="2"/>
    <x v="1"/>
    <x v="1"/>
    <x v="1"/>
    <n v="0"/>
    <n v="0"/>
    <n v="5"/>
  </r>
  <r>
    <n v="3291"/>
    <s v="Zacarias Alves"/>
    <s v="Ultimate"/>
    <d v="2024-04-26T00:00:00"/>
    <x v="1"/>
    <n v="15"/>
    <x v="0"/>
    <x v="0"/>
    <x v="0"/>
    <x v="0"/>
    <n v="20"/>
    <n v="5"/>
    <n v="60"/>
  </r>
  <r>
    <n v="3292"/>
    <s v="Amanda Bynes"/>
    <s v="Standard"/>
    <d v="2024-04-27T00:00:00"/>
    <x v="0"/>
    <n v="10"/>
    <x v="1"/>
    <x v="1"/>
    <x v="1"/>
    <x v="0"/>
    <n v="20"/>
    <n v="15"/>
    <n v="15"/>
  </r>
  <r>
    <n v="3293"/>
    <s v="Bruno Mars"/>
    <s v="Core"/>
    <d v="2024-04-28T00:00:00"/>
    <x v="1"/>
    <n v="5"/>
    <x v="0"/>
    <x v="1"/>
    <x v="1"/>
    <x v="1"/>
    <n v="0"/>
    <n v="1"/>
    <n v="4"/>
  </r>
  <r>
    <n v="3294"/>
    <s v="Carla Bruni"/>
    <s v="Ultimate"/>
    <d v="2024-04-29T00:00:00"/>
    <x v="0"/>
    <n v="15"/>
    <x v="2"/>
    <x v="0"/>
    <x v="0"/>
    <x v="0"/>
    <n v="20"/>
    <n v="20"/>
    <n v="45"/>
  </r>
  <r>
    <n v="3295"/>
    <s v="Diego Maradona"/>
    <s v="Standard"/>
    <d v="2024-04-30T00:00:00"/>
    <x v="1"/>
    <n v="10"/>
    <x v="0"/>
    <x v="1"/>
    <x v="1"/>
    <x v="0"/>
    <n v="20"/>
    <n v="5"/>
    <n v="25"/>
  </r>
  <r>
    <n v="3296"/>
    <s v="Estela Marques"/>
    <s v="Core"/>
    <d v="2024-05-01T00:00:00"/>
    <x v="1"/>
    <n v="5"/>
    <x v="0"/>
    <x v="1"/>
    <x v="1"/>
    <x v="1"/>
    <n v="0"/>
    <n v="0"/>
    <n v="5"/>
  </r>
  <r>
    <n v="3297"/>
    <s v="Fábio Nobre"/>
    <s v="Ultimate"/>
    <d v="2024-05-02T00:00:00"/>
    <x v="0"/>
    <n v="15"/>
    <x v="2"/>
    <x v="0"/>
    <x v="0"/>
    <x v="0"/>
    <n v="20"/>
    <n v="7"/>
    <n v="58"/>
  </r>
  <r>
    <n v="3298"/>
    <s v="Gabriel Oliveira"/>
    <s v="Standard"/>
    <d v="2024-05-03T00:00:00"/>
    <x v="1"/>
    <n v="10"/>
    <x v="1"/>
    <x v="1"/>
    <x v="1"/>
    <x v="0"/>
    <n v="20"/>
    <n v="10"/>
    <n v="20"/>
  </r>
  <r>
    <n v="3299"/>
    <s v="Helena Santos"/>
    <s v="Core"/>
    <d v="2024-05-04T00:00:00"/>
    <x v="0"/>
    <n v="5"/>
    <x v="2"/>
    <x v="1"/>
    <x v="1"/>
    <x v="1"/>
    <n v="0"/>
    <n v="1"/>
    <n v="4"/>
  </r>
  <r>
    <n v="3300"/>
    <s v="Ivan Carvalho"/>
    <s v="Ultimate"/>
    <d v="2024-05-05T00:00:00"/>
    <x v="1"/>
    <n v="15"/>
    <x v="0"/>
    <x v="0"/>
    <x v="0"/>
    <x v="0"/>
    <n v="20"/>
    <n v="15"/>
    <n v="50"/>
  </r>
  <r>
    <n v="3301"/>
    <s v="Júlia Ferreira"/>
    <s v="Standard"/>
    <d v="2024-05-06T00:00:00"/>
    <x v="0"/>
    <n v="10"/>
    <x v="0"/>
    <x v="1"/>
    <x v="1"/>
    <x v="0"/>
    <n v="20"/>
    <n v="5"/>
    <n v="25"/>
  </r>
  <r>
    <n v="3302"/>
    <s v="Karla Alves"/>
    <s v="Core"/>
    <d v="2024-05-07T00:00:00"/>
    <x v="1"/>
    <n v="5"/>
    <x v="1"/>
    <x v="1"/>
    <x v="1"/>
    <x v="1"/>
    <n v="0"/>
    <n v="0"/>
    <n v="5"/>
  </r>
  <r>
    <n v="3303"/>
    <s v="Lucas Mendes"/>
    <s v="Ultimate"/>
    <d v="2024-05-08T00:00:00"/>
    <x v="0"/>
    <n v="15"/>
    <x v="2"/>
    <x v="0"/>
    <x v="0"/>
    <x v="0"/>
    <n v="20"/>
    <n v="20"/>
    <n v="45"/>
  </r>
  <r>
    <n v="3304"/>
    <s v="Mônica Gomes"/>
    <s v="Standard"/>
    <d v="2024-05-09T00:00:00"/>
    <x v="1"/>
    <n v="10"/>
    <x v="2"/>
    <x v="1"/>
    <x v="1"/>
    <x v="0"/>
    <n v="20"/>
    <n v="12"/>
    <n v="18"/>
  </r>
  <r>
    <n v="3305"/>
    <s v="Norberto Queiroz"/>
    <s v="Core"/>
    <d v="2024-05-10T00:00:00"/>
    <x v="0"/>
    <n v="5"/>
    <x v="0"/>
    <x v="1"/>
    <x v="1"/>
    <x v="1"/>
    <n v="0"/>
    <n v="2"/>
    <n v="3"/>
  </r>
  <r>
    <n v="3306"/>
    <s v="Otávio Barros"/>
    <s v="Ultimate"/>
    <d v="2024-05-11T00:00:00"/>
    <x v="1"/>
    <n v="15"/>
    <x v="1"/>
    <x v="0"/>
    <x v="0"/>
    <x v="0"/>
    <n v="20"/>
    <n v="5"/>
    <n v="60"/>
  </r>
  <r>
    <n v="3307"/>
    <s v="Paula Vieira"/>
    <s v="Standard"/>
    <d v="2024-05-12T00:00:00"/>
    <x v="0"/>
    <n v="10"/>
    <x v="0"/>
    <x v="1"/>
    <x v="1"/>
    <x v="0"/>
    <n v="20"/>
    <n v="10"/>
    <n v="20"/>
  </r>
  <r>
    <n v="3308"/>
    <s v="Quentin Ramos"/>
    <s v="Core"/>
    <d v="2024-05-13T00:00:00"/>
    <x v="1"/>
    <n v="5"/>
    <x v="2"/>
    <x v="1"/>
    <x v="1"/>
    <x v="1"/>
    <n v="0"/>
    <n v="0"/>
    <n v="5"/>
  </r>
  <r>
    <n v="3309"/>
    <s v="Raquel Novaes"/>
    <s v="Ultimate"/>
    <d v="2024-05-14T00:00:00"/>
    <x v="0"/>
    <n v="15"/>
    <x v="0"/>
    <x v="0"/>
    <x v="0"/>
    <x v="0"/>
    <n v="20"/>
    <n v="3"/>
    <n v="62"/>
  </r>
  <r>
    <n v="3310"/>
    <s v="Samantha Lopes"/>
    <s v="Standard"/>
    <d v="2024-05-15T00:00:00"/>
    <x v="1"/>
    <n v="10"/>
    <x v="1"/>
    <x v="1"/>
    <x v="1"/>
    <x v="0"/>
    <n v="20"/>
    <n v="15"/>
    <n v="15"/>
  </r>
  <r>
    <n v="3311"/>
    <s v="Tiago Martins"/>
    <s v="Core"/>
    <d v="2024-05-16T00:00:00"/>
    <x v="0"/>
    <n v="5"/>
    <x v="0"/>
    <x v="1"/>
    <x v="1"/>
    <x v="1"/>
    <n v="0"/>
    <n v="1"/>
    <n v="4"/>
  </r>
  <r>
    <n v="3312"/>
    <s v="Ulysses Guimarães"/>
    <s v="Ultimate"/>
    <d v="2024-05-17T00:00:00"/>
    <x v="1"/>
    <n v="15"/>
    <x v="2"/>
    <x v="0"/>
    <x v="0"/>
    <x v="0"/>
    <n v="20"/>
    <n v="7"/>
    <n v="58"/>
  </r>
  <r>
    <n v="3313"/>
    <s v="Vanessa Silva"/>
    <s v="Standard"/>
    <d v="2024-05-18T00:00:00"/>
    <x v="0"/>
    <n v="10"/>
    <x v="0"/>
    <x v="1"/>
    <x v="1"/>
    <x v="0"/>
    <n v="20"/>
    <n v="10"/>
    <n v="20"/>
  </r>
  <r>
    <n v="3314"/>
    <s v="William Carneiro"/>
    <s v="Core"/>
    <d v="2024-05-19T00:00:00"/>
    <x v="1"/>
    <n v="5"/>
    <x v="1"/>
    <x v="1"/>
    <x v="1"/>
    <x v="1"/>
    <n v="0"/>
    <n v="0"/>
    <n v="5"/>
  </r>
  <r>
    <n v="3315"/>
    <s v="Ximena Rocha"/>
    <s v="Ultimate"/>
    <d v="2024-05-20T00:00:00"/>
    <x v="0"/>
    <n v="15"/>
    <x v="0"/>
    <x v="0"/>
    <x v="0"/>
    <x v="0"/>
    <n v="20"/>
    <n v="20"/>
    <n v="45"/>
  </r>
  <r>
    <n v="3316"/>
    <s v="Yasmin Figueiredo"/>
    <s v="Standard"/>
    <d v="2024-05-21T00:00:00"/>
    <x v="1"/>
    <n v="10"/>
    <x v="2"/>
    <x v="1"/>
    <x v="1"/>
    <x v="0"/>
    <n v="20"/>
    <n v="15"/>
    <n v="15"/>
  </r>
  <r>
    <n v="3317"/>
    <s v="Zara Cunha"/>
    <s v="Core"/>
    <d v="2024-05-22T00:00:00"/>
    <x v="0"/>
    <n v="5"/>
    <x v="0"/>
    <x v="1"/>
    <x v="1"/>
    <x v="1"/>
    <n v="0"/>
    <n v="1"/>
    <n v="4"/>
  </r>
  <r>
    <n v="3318"/>
    <s v="Alan Teixeira"/>
    <s v="Ultimate"/>
    <d v="2024-05-23T00:00:00"/>
    <x v="1"/>
    <n v="15"/>
    <x v="1"/>
    <x v="0"/>
    <x v="0"/>
    <x v="0"/>
    <n v="20"/>
    <n v="3"/>
    <n v="62"/>
  </r>
  <r>
    <n v="3319"/>
    <s v="Bárbara Oliveira"/>
    <s v="Standard"/>
    <d v="2024-05-24T00:00:00"/>
    <x v="0"/>
    <n v="10"/>
    <x v="0"/>
    <x v="1"/>
    <x v="1"/>
    <x v="0"/>
    <n v="20"/>
    <n v="10"/>
    <n v="20"/>
  </r>
  <r>
    <n v="3320"/>
    <s v="Carlos Junqueira"/>
    <s v="Core"/>
    <d v="2024-05-25T00:00:00"/>
    <x v="1"/>
    <n v="5"/>
    <x v="2"/>
    <x v="1"/>
    <x v="1"/>
    <x v="1"/>
    <n v="0"/>
    <n v="0"/>
    <n v="5"/>
  </r>
  <r>
    <n v="3321"/>
    <s v="Daniela Moura"/>
    <s v="Ultimate"/>
    <d v="2024-05-26T00:00:00"/>
    <x v="0"/>
    <n v="15"/>
    <x v="0"/>
    <x v="0"/>
    <x v="0"/>
    <x v="0"/>
    <n v="20"/>
    <n v="5"/>
    <n v="60"/>
  </r>
  <r>
    <n v="3322"/>
    <s v="Eduardo Lima"/>
    <s v="Standard"/>
    <d v="2024-05-27T00:00:00"/>
    <x v="1"/>
    <n v="10"/>
    <x v="1"/>
    <x v="1"/>
    <x v="1"/>
    <x v="0"/>
    <n v="20"/>
    <n v="15"/>
    <n v="15"/>
  </r>
  <r>
    <n v="3323"/>
    <s v="Fabiana Araújo"/>
    <s v="Core"/>
    <d v="2024-05-28T00:00:00"/>
    <x v="0"/>
    <n v="5"/>
    <x v="0"/>
    <x v="1"/>
    <x v="1"/>
    <x v="1"/>
    <n v="0"/>
    <n v="1"/>
    <n v="4"/>
  </r>
  <r>
    <n v="3324"/>
    <s v="Geraldo Ribeiro"/>
    <s v="Ultimate"/>
    <d v="2024-05-29T00:00:00"/>
    <x v="1"/>
    <n v="15"/>
    <x v="2"/>
    <x v="0"/>
    <x v="0"/>
    <x v="0"/>
    <n v="20"/>
    <n v="20"/>
    <n v="45"/>
  </r>
  <r>
    <n v="3325"/>
    <s v="Héctor Vargas"/>
    <s v="Standard"/>
    <d v="2024-05-30T00:00:00"/>
    <x v="0"/>
    <n v="10"/>
    <x v="2"/>
    <x v="1"/>
    <x v="1"/>
    <x v="0"/>
    <n v="20"/>
    <n v="15"/>
    <n v="15"/>
  </r>
  <r>
    <n v="3326"/>
    <s v="Isabela Fonseca"/>
    <s v="Core"/>
    <d v="2024-05-31T00:00:00"/>
    <x v="1"/>
    <n v="5"/>
    <x v="1"/>
    <x v="1"/>
    <x v="1"/>
    <x v="1"/>
    <n v="0"/>
    <n v="0"/>
    <n v="5"/>
  </r>
  <r>
    <n v="3327"/>
    <s v="João Pedro Almeida"/>
    <s v="Ultimate"/>
    <d v="2024-06-01T00:00:00"/>
    <x v="0"/>
    <n v="15"/>
    <x v="0"/>
    <x v="0"/>
    <x v="0"/>
    <x v="0"/>
    <n v="20"/>
    <n v="7"/>
    <n v="58"/>
  </r>
  <r>
    <n v="3328"/>
    <s v="Klara Costa"/>
    <s v="Standard"/>
    <d v="2024-06-02T00:00:00"/>
    <x v="1"/>
    <n v="10"/>
    <x v="1"/>
    <x v="1"/>
    <x v="1"/>
    <x v="0"/>
    <n v="20"/>
    <n v="10"/>
    <n v="20"/>
  </r>
  <r>
    <n v="3329"/>
    <s v="Luciana Mendes"/>
    <s v="Core"/>
    <d v="2024-06-03T00:00:00"/>
    <x v="0"/>
    <n v="5"/>
    <x v="2"/>
    <x v="1"/>
    <x v="1"/>
    <x v="1"/>
    <n v="0"/>
    <n v="1"/>
    <n v="4"/>
  </r>
  <r>
    <n v="3330"/>
    <s v="Marcelo Gouveia"/>
    <s v="Ultimate"/>
    <d v="2024-06-04T00:00:00"/>
    <x v="1"/>
    <n v="15"/>
    <x v="0"/>
    <x v="0"/>
    <x v="0"/>
    <x v="0"/>
    <n v="20"/>
    <n v="15"/>
    <n v="50"/>
  </r>
  <r>
    <n v="3331"/>
    <s v="Nívea Borges"/>
    <s v="Standard"/>
    <d v="2024-06-05T00:00:00"/>
    <x v="0"/>
    <n v="10"/>
    <x v="0"/>
    <x v="1"/>
    <x v="1"/>
    <x v="0"/>
    <n v="20"/>
    <n v="5"/>
    <n v="25"/>
  </r>
  <r>
    <n v="3332"/>
    <s v="Oscar Nogueira"/>
    <s v="Core"/>
    <d v="2024-06-06T00:00:00"/>
    <x v="1"/>
    <n v="5"/>
    <x v="1"/>
    <x v="1"/>
    <x v="1"/>
    <x v="1"/>
    <n v="0"/>
    <n v="0"/>
    <n v="5"/>
  </r>
  <r>
    <n v="3333"/>
    <s v="Patrícia Alves"/>
    <s v="Ultimate"/>
    <d v="2024-06-07T00:00:00"/>
    <x v="0"/>
    <n v="15"/>
    <x v="2"/>
    <x v="0"/>
    <x v="0"/>
    <x v="0"/>
    <n v="20"/>
    <n v="20"/>
    <n v="45"/>
  </r>
  <r>
    <n v="3334"/>
    <s v="Rafaela Silva"/>
    <s v="Standard"/>
    <d v="2024-06-08T00:00:00"/>
    <x v="1"/>
    <n v="10"/>
    <x v="2"/>
    <x v="1"/>
    <x v="1"/>
    <x v="0"/>
    <n v="20"/>
    <n v="12"/>
    <n v="18"/>
  </r>
  <r>
    <n v="3335"/>
    <s v="Samantha Moraes"/>
    <s v="Core"/>
    <d v="2024-06-09T00:00:00"/>
    <x v="0"/>
    <n v="5"/>
    <x v="0"/>
    <x v="1"/>
    <x v="1"/>
    <x v="1"/>
    <n v="0"/>
    <n v="2"/>
    <n v="3"/>
  </r>
  <r>
    <n v="3336"/>
    <s v="Tatiana Rocha"/>
    <s v="Core"/>
    <d v="2024-06-10T00:00:00"/>
    <x v="0"/>
    <n v="5"/>
    <x v="0"/>
    <x v="1"/>
    <x v="1"/>
    <x v="1"/>
    <n v="0"/>
    <n v="0"/>
    <n v="5"/>
  </r>
  <r>
    <n v="3337"/>
    <s v="Ulisses Tavares"/>
    <s v="Ultimate"/>
    <d v="2024-06-11T00:00:00"/>
    <x v="1"/>
    <n v="15"/>
    <x v="2"/>
    <x v="0"/>
    <x v="0"/>
    <x v="0"/>
    <n v="20"/>
    <n v="7"/>
    <n v="58"/>
  </r>
  <r>
    <n v="3338"/>
    <s v="Víctor Lemos"/>
    <s v="Standard"/>
    <d v="2024-06-12T00:00:00"/>
    <x v="0"/>
    <n v="10"/>
    <x v="1"/>
    <x v="1"/>
    <x v="1"/>
    <x v="0"/>
    <n v="20"/>
    <n v="10"/>
    <n v="20"/>
  </r>
  <r>
    <n v="3339"/>
    <s v="Wilma Barros"/>
    <s v="Core"/>
    <d v="2024-06-13T00:00:00"/>
    <x v="1"/>
    <n v="5"/>
    <x v="2"/>
    <x v="1"/>
    <x v="1"/>
    <x v="1"/>
    <n v="0"/>
    <n v="1"/>
    <n v="4"/>
  </r>
  <r>
    <n v="3340"/>
    <s v="Xavier Nascimento"/>
    <s v="Ultimate"/>
    <d v="2024-06-14T00:00:00"/>
    <x v="0"/>
    <n v="15"/>
    <x v="0"/>
    <x v="0"/>
    <x v="0"/>
    <x v="0"/>
    <n v="20"/>
    <n v="15"/>
    <n v="50"/>
  </r>
  <r>
    <n v="3341"/>
    <s v="Yago Pereira"/>
    <s v="Standard"/>
    <d v="2024-06-15T00:00:00"/>
    <x v="1"/>
    <n v="10"/>
    <x v="0"/>
    <x v="1"/>
    <x v="1"/>
    <x v="0"/>
    <n v="20"/>
    <n v="5"/>
    <n v="25"/>
  </r>
  <r>
    <n v="3342"/>
    <s v="Zilda Ferreira"/>
    <s v="Core"/>
    <d v="2024-06-16T00:00:00"/>
    <x v="0"/>
    <n v="5"/>
    <x v="1"/>
    <x v="1"/>
    <x v="1"/>
    <x v="1"/>
    <n v="0"/>
    <n v="0"/>
    <n v="5"/>
  </r>
  <r>
    <n v="3343"/>
    <s v="Amanda Lopes"/>
    <s v="Ultimate"/>
    <d v="2024-06-17T00:00:00"/>
    <x v="1"/>
    <n v="15"/>
    <x v="2"/>
    <x v="0"/>
    <x v="0"/>
    <x v="0"/>
    <n v="20"/>
    <n v="20"/>
    <n v="45"/>
  </r>
  <r>
    <n v="3344"/>
    <s v="Bruno Miranda"/>
    <s v="Standard"/>
    <d v="2024-06-18T00:00:00"/>
    <x v="0"/>
    <n v="10"/>
    <x v="2"/>
    <x v="1"/>
    <x v="1"/>
    <x v="0"/>
    <n v="20"/>
    <n v="12"/>
    <n v="18"/>
  </r>
  <r>
    <n v="3345"/>
    <s v="Célia Torres"/>
    <s v="Core"/>
    <d v="2024-06-19T00:00:00"/>
    <x v="1"/>
    <n v="5"/>
    <x v="0"/>
    <x v="1"/>
    <x v="1"/>
    <x v="1"/>
    <n v="0"/>
    <n v="2"/>
    <n v="3"/>
  </r>
  <r>
    <n v="3346"/>
    <s v="Diogo Souza"/>
    <s v="Ultimate"/>
    <d v="2024-06-20T00:00:00"/>
    <x v="0"/>
    <n v="15"/>
    <x v="1"/>
    <x v="0"/>
    <x v="0"/>
    <x v="0"/>
    <n v="20"/>
    <n v="5"/>
    <n v="60"/>
  </r>
  <r>
    <n v="3347"/>
    <s v="Elisa Castro"/>
    <s v="Standard"/>
    <d v="2024-06-21T00:00:00"/>
    <x v="1"/>
    <n v="10"/>
    <x v="0"/>
    <x v="1"/>
    <x v="1"/>
    <x v="0"/>
    <n v="20"/>
    <n v="10"/>
    <n v="20"/>
  </r>
  <r>
    <n v="3348"/>
    <s v="Fátima Lima"/>
    <s v="Core"/>
    <d v="2024-06-22T00:00:00"/>
    <x v="0"/>
    <n v="5"/>
    <x v="2"/>
    <x v="1"/>
    <x v="1"/>
    <x v="1"/>
    <n v="0"/>
    <n v="0"/>
    <n v="5"/>
  </r>
  <r>
    <n v="3349"/>
    <s v="Geraldo Ribeiro"/>
    <s v="Ultimate"/>
    <d v="2024-06-23T00:00:00"/>
    <x v="1"/>
    <n v="15"/>
    <x v="0"/>
    <x v="0"/>
    <x v="0"/>
    <x v="0"/>
    <n v="20"/>
    <n v="3"/>
    <n v="62"/>
  </r>
  <r>
    <n v="3350"/>
    <s v="Hélio Martins"/>
    <s v="Standard"/>
    <d v="2024-06-24T00:00:00"/>
    <x v="0"/>
    <n v="10"/>
    <x v="1"/>
    <x v="1"/>
    <x v="1"/>
    <x v="0"/>
    <n v="20"/>
    <n v="15"/>
    <n v="15"/>
  </r>
  <r>
    <n v="3351"/>
    <s v="Íris Santos"/>
    <s v="Core"/>
    <d v="2024-06-25T00:00:00"/>
    <x v="1"/>
    <n v="5"/>
    <x v="0"/>
    <x v="1"/>
    <x v="1"/>
    <x v="1"/>
    <n v="0"/>
    <n v="1"/>
    <n v="4"/>
  </r>
  <r>
    <n v="3352"/>
    <s v="João Marcelo"/>
    <s v="Ultimate"/>
    <d v="2024-06-26T00:00:00"/>
    <x v="0"/>
    <n v="15"/>
    <x v="2"/>
    <x v="0"/>
    <x v="0"/>
    <x v="0"/>
    <n v="20"/>
    <n v="7"/>
    <n v="58"/>
  </r>
  <r>
    <n v="3353"/>
    <s v="Larissa Gomes"/>
    <s v="Standard"/>
    <d v="2024-06-27T00:00:00"/>
    <x v="1"/>
    <n v="10"/>
    <x v="0"/>
    <x v="1"/>
    <x v="1"/>
    <x v="0"/>
    <n v="20"/>
    <n v="10"/>
    <n v="20"/>
  </r>
  <r>
    <n v="3354"/>
    <s v="Márcio Silva"/>
    <s v="Core"/>
    <d v="2024-06-28T00:00:00"/>
    <x v="0"/>
    <n v="5"/>
    <x v="1"/>
    <x v="1"/>
    <x v="1"/>
    <x v="1"/>
    <n v="0"/>
    <n v="0"/>
    <n v="5"/>
  </r>
  <r>
    <n v="3355"/>
    <s v="Nadia Costa"/>
    <s v="Ultimate"/>
    <d v="2024-06-29T00:00:00"/>
    <x v="1"/>
    <n v="15"/>
    <x v="0"/>
    <x v="0"/>
    <x v="0"/>
    <x v="0"/>
    <n v="20"/>
    <n v="20"/>
    <n v="45"/>
  </r>
  <r>
    <n v="3356"/>
    <s v="Oscar Almeida"/>
    <s v="Standard"/>
    <d v="2024-06-30T00:00:00"/>
    <x v="0"/>
    <n v="10"/>
    <x v="2"/>
    <x v="1"/>
    <x v="1"/>
    <x v="0"/>
    <n v="20"/>
    <n v="15"/>
    <n v="15"/>
  </r>
  <r>
    <n v="3357"/>
    <s v="Patricia Soares"/>
    <s v="Core"/>
    <d v="2024-07-01T00:00:00"/>
    <x v="1"/>
    <n v="5"/>
    <x v="0"/>
    <x v="1"/>
    <x v="1"/>
    <x v="1"/>
    <n v="0"/>
    <n v="1"/>
    <n v="4"/>
  </r>
  <r>
    <n v="3358"/>
    <s v="Quênia Barros"/>
    <s v="Ultimate"/>
    <d v="2024-07-02T00:00:00"/>
    <x v="0"/>
    <n v="15"/>
    <x v="1"/>
    <x v="0"/>
    <x v="0"/>
    <x v="0"/>
    <n v="20"/>
    <n v="3"/>
    <n v="62"/>
  </r>
  <r>
    <n v="3359"/>
    <s v="Rafael Torres"/>
    <s v="Standard"/>
    <d v="2024-07-03T00:00:00"/>
    <x v="1"/>
    <n v="10"/>
    <x v="0"/>
    <x v="1"/>
    <x v="1"/>
    <x v="0"/>
    <n v="20"/>
    <n v="10"/>
    <n v="20"/>
  </r>
  <r>
    <n v="3360"/>
    <s v="Silvia Nascimento"/>
    <s v="Core"/>
    <d v="2024-07-04T00:00:00"/>
    <x v="0"/>
    <n v="5"/>
    <x v="2"/>
    <x v="1"/>
    <x v="1"/>
    <x v="1"/>
    <n v="0"/>
    <n v="0"/>
    <n v="5"/>
  </r>
  <r>
    <n v="3361"/>
    <s v="Tiago Mendes"/>
    <s v="Ultimate"/>
    <d v="2024-07-05T00:00:00"/>
    <x v="1"/>
    <n v="15"/>
    <x v="0"/>
    <x v="0"/>
    <x v="0"/>
    <x v="0"/>
    <n v="20"/>
    <n v="15"/>
    <n v="50"/>
  </r>
  <r>
    <n v="3362"/>
    <s v="Ursula Silva"/>
    <s v="Standard"/>
    <d v="2024-07-06T00:00:00"/>
    <x v="0"/>
    <n v="10"/>
    <x v="1"/>
    <x v="1"/>
    <x v="1"/>
    <x v="0"/>
    <n v="20"/>
    <n v="15"/>
    <n v="15"/>
  </r>
  <r>
    <n v="3363"/>
    <s v="Vanessa Moraes"/>
    <s v="Core"/>
    <d v="2024-07-07T00:00:00"/>
    <x v="1"/>
    <n v="5"/>
    <x v="0"/>
    <x v="1"/>
    <x v="1"/>
    <x v="1"/>
    <n v="0"/>
    <n v="1"/>
    <n v="4"/>
  </r>
  <r>
    <n v="3364"/>
    <s v="Waldir Junior"/>
    <s v="Ultimate"/>
    <d v="2024-07-08T00:00:00"/>
    <x v="0"/>
    <n v="15"/>
    <x v="2"/>
    <x v="0"/>
    <x v="0"/>
    <x v="0"/>
    <n v="20"/>
    <n v="7"/>
    <n v="58"/>
  </r>
  <r>
    <n v="3365"/>
    <s v="Xavier Lopes"/>
    <s v="Standard"/>
    <d v="2024-07-09T00:00:00"/>
    <x v="1"/>
    <n v="10"/>
    <x v="0"/>
    <x v="1"/>
    <x v="1"/>
    <x v="0"/>
    <n v="20"/>
    <n v="10"/>
    <n v="20"/>
  </r>
  <r>
    <n v="3366"/>
    <s v="Yolanda Freitas"/>
    <s v="Core"/>
    <d v="2024-07-10T00:00:00"/>
    <x v="0"/>
    <n v="5"/>
    <x v="0"/>
    <x v="1"/>
    <x v="1"/>
    <x v="1"/>
    <n v="0"/>
    <n v="0"/>
    <n v="5"/>
  </r>
  <r>
    <n v="3367"/>
    <s v="Zacarias Nunes"/>
    <s v="Ultimate"/>
    <d v="2024-07-11T00:00:00"/>
    <x v="1"/>
    <n v="15"/>
    <x v="2"/>
    <x v="0"/>
    <x v="0"/>
    <x v="0"/>
    <n v="20"/>
    <n v="7"/>
    <n v="58"/>
  </r>
  <r>
    <n v="3368"/>
    <s v="Ana Clara Barreto"/>
    <s v="Standard"/>
    <d v="2024-07-12T00:00:00"/>
    <x v="0"/>
    <n v="10"/>
    <x v="1"/>
    <x v="1"/>
    <x v="1"/>
    <x v="0"/>
    <n v="20"/>
    <n v="10"/>
    <n v="20"/>
  </r>
  <r>
    <n v="3369"/>
    <s v="Bruno Henrique"/>
    <s v="Core"/>
    <d v="2024-07-13T00:00:00"/>
    <x v="1"/>
    <n v="5"/>
    <x v="2"/>
    <x v="1"/>
    <x v="1"/>
    <x v="1"/>
    <n v="0"/>
    <n v="1"/>
    <n v="4"/>
  </r>
  <r>
    <n v="3370"/>
    <s v="Carlos Eduardo"/>
    <s v="Ultimate"/>
    <d v="2024-07-14T00:00:00"/>
    <x v="0"/>
    <n v="15"/>
    <x v="0"/>
    <x v="0"/>
    <x v="0"/>
    <x v="0"/>
    <n v="20"/>
    <n v="15"/>
    <n v="50"/>
  </r>
  <r>
    <n v="3371"/>
    <s v="Débora Lima"/>
    <s v="Standard"/>
    <d v="2024-07-15T00:00:00"/>
    <x v="1"/>
    <n v="10"/>
    <x v="0"/>
    <x v="1"/>
    <x v="1"/>
    <x v="0"/>
    <n v="20"/>
    <n v="5"/>
    <n v="25"/>
  </r>
  <r>
    <n v="3372"/>
    <s v="Elisa Neves"/>
    <s v="Core"/>
    <d v="2024-07-16T00:00:00"/>
    <x v="0"/>
    <n v="5"/>
    <x v="1"/>
    <x v="1"/>
    <x v="1"/>
    <x v="1"/>
    <n v="0"/>
    <n v="0"/>
    <n v="5"/>
  </r>
  <r>
    <n v="3373"/>
    <s v="Fabiano Gomes"/>
    <s v="Ultimate"/>
    <d v="2024-07-17T00:00:00"/>
    <x v="1"/>
    <n v="15"/>
    <x v="2"/>
    <x v="0"/>
    <x v="0"/>
    <x v="0"/>
    <n v="20"/>
    <n v="20"/>
    <n v="45"/>
  </r>
  <r>
    <n v="3374"/>
    <s v="Gisele Oliveira"/>
    <s v="Standard"/>
    <d v="2024-07-18T00:00:00"/>
    <x v="0"/>
    <n v="10"/>
    <x v="2"/>
    <x v="1"/>
    <x v="1"/>
    <x v="0"/>
    <n v="20"/>
    <n v="12"/>
    <n v="18"/>
  </r>
  <r>
    <n v="3375"/>
    <s v="Héctor Silva"/>
    <s v="Core"/>
    <d v="2024-07-19T00:00:00"/>
    <x v="1"/>
    <n v="5"/>
    <x v="0"/>
    <x v="1"/>
    <x v="1"/>
    <x v="1"/>
    <n v="0"/>
    <n v="2"/>
    <n v="3"/>
  </r>
  <r>
    <n v="3376"/>
    <s v="Igor Martins"/>
    <s v="Ultimate"/>
    <d v="2024-07-20T00:00:00"/>
    <x v="0"/>
    <n v="15"/>
    <x v="1"/>
    <x v="0"/>
    <x v="0"/>
    <x v="0"/>
    <n v="20"/>
    <n v="5"/>
    <n v="60"/>
  </r>
  <r>
    <n v="3377"/>
    <s v="Joana Figueiredo"/>
    <s v="Standard"/>
    <d v="2024-07-21T00:00:00"/>
    <x v="1"/>
    <n v="10"/>
    <x v="0"/>
    <x v="1"/>
    <x v="1"/>
    <x v="0"/>
    <n v="20"/>
    <n v="10"/>
    <n v="20"/>
  </r>
  <r>
    <n v="3378"/>
    <s v="Kleber Machado"/>
    <s v="Core"/>
    <d v="2024-07-22T00:00:00"/>
    <x v="0"/>
    <n v="5"/>
    <x v="2"/>
    <x v="1"/>
    <x v="1"/>
    <x v="1"/>
    <n v="0"/>
    <n v="0"/>
    <n v="5"/>
  </r>
  <r>
    <n v="3379"/>
    <s v="Luciana Santos"/>
    <s v="Ultimate"/>
    <d v="2024-07-23T00:00:00"/>
    <x v="1"/>
    <n v="15"/>
    <x v="0"/>
    <x v="0"/>
    <x v="0"/>
    <x v="0"/>
    <n v="20"/>
    <n v="3"/>
    <n v="62"/>
  </r>
  <r>
    <n v="3380"/>
    <s v="Marcos Teixeira"/>
    <s v="Standard"/>
    <d v="2024-07-24T00:00:00"/>
    <x v="0"/>
    <n v="10"/>
    <x v="1"/>
    <x v="1"/>
    <x v="1"/>
    <x v="0"/>
    <n v="20"/>
    <n v="15"/>
    <n v="15"/>
  </r>
  <r>
    <n v="3381"/>
    <s v="Natalia Costa"/>
    <s v="Core"/>
    <d v="2024-07-25T00:00:00"/>
    <x v="1"/>
    <n v="5"/>
    <x v="0"/>
    <x v="1"/>
    <x v="1"/>
    <x v="1"/>
    <n v="0"/>
    <n v="1"/>
    <n v="4"/>
  </r>
  <r>
    <n v="3382"/>
    <s v="Oscar Ribeiro"/>
    <s v="Ultimate"/>
    <d v="2024-07-26T00:00:00"/>
    <x v="0"/>
    <n v="15"/>
    <x v="2"/>
    <x v="0"/>
    <x v="0"/>
    <x v="0"/>
    <n v="20"/>
    <n v="7"/>
    <n v="58"/>
  </r>
  <r>
    <n v="3383"/>
    <s v="Patricia Almeida"/>
    <s v="Standard"/>
    <d v="2024-07-27T00:00:00"/>
    <x v="1"/>
    <n v="10"/>
    <x v="0"/>
    <x v="1"/>
    <x v="1"/>
    <x v="0"/>
    <n v="20"/>
    <n v="10"/>
    <n v="20"/>
  </r>
  <r>
    <n v="3384"/>
    <s v="Quirino Junior"/>
    <s v="Core"/>
    <d v="2024-07-28T00:00:00"/>
    <x v="0"/>
    <n v="5"/>
    <x v="1"/>
    <x v="1"/>
    <x v="1"/>
    <x v="1"/>
    <n v="0"/>
    <n v="0"/>
    <n v="5"/>
  </r>
  <r>
    <n v="3385"/>
    <s v="Renata Machado"/>
    <s v="Ultimate"/>
    <d v="2024-07-29T00:00:00"/>
    <x v="1"/>
    <n v="15"/>
    <x v="0"/>
    <x v="0"/>
    <x v="0"/>
    <x v="0"/>
    <n v="20"/>
    <n v="20"/>
    <n v="45"/>
  </r>
  <r>
    <n v="3386"/>
    <s v="Sônia Alves"/>
    <s v="Standard"/>
    <d v="2024-07-30T00:00:00"/>
    <x v="0"/>
    <n v="10"/>
    <x v="2"/>
    <x v="1"/>
    <x v="1"/>
    <x v="0"/>
    <n v="20"/>
    <n v="15"/>
    <n v="15"/>
  </r>
  <r>
    <n v="3387"/>
    <s v="Tiago Nunes"/>
    <s v="Core"/>
    <d v="2024-07-31T00:00:00"/>
    <x v="1"/>
    <n v="5"/>
    <x v="0"/>
    <x v="1"/>
    <x v="1"/>
    <x v="1"/>
    <n v="0"/>
    <n v="1"/>
    <n v="4"/>
  </r>
  <r>
    <n v="3388"/>
    <s v="Ulysses Pereira"/>
    <s v="Ultimate"/>
    <d v="2024-08-01T00:00:00"/>
    <x v="0"/>
    <n v="15"/>
    <x v="1"/>
    <x v="0"/>
    <x v="0"/>
    <x v="0"/>
    <n v="20"/>
    <n v="3"/>
    <n v="62"/>
  </r>
  <r>
    <n v="3389"/>
    <s v="Vanessa Lima"/>
    <s v="Standard"/>
    <d v="2024-08-02T00:00:00"/>
    <x v="1"/>
    <n v="10"/>
    <x v="0"/>
    <x v="1"/>
    <x v="1"/>
    <x v="0"/>
    <n v="20"/>
    <n v="10"/>
    <n v="20"/>
  </r>
  <r>
    <n v="3390"/>
    <s v="Wagner Santos"/>
    <s v="Core"/>
    <d v="2024-08-03T00:00:00"/>
    <x v="0"/>
    <n v="5"/>
    <x v="2"/>
    <x v="1"/>
    <x v="1"/>
    <x v="1"/>
    <n v="0"/>
    <n v="0"/>
    <n v="5"/>
  </r>
  <r>
    <n v="3391"/>
    <s v="Xuxa Meneghel"/>
    <s v="Ultimate"/>
    <d v="2024-08-04T00:00:00"/>
    <x v="1"/>
    <n v="15"/>
    <x v="0"/>
    <x v="0"/>
    <x v="0"/>
    <x v="0"/>
    <n v="20"/>
    <n v="15"/>
    <n v="50"/>
  </r>
  <r>
    <n v="3392"/>
    <s v="Yasmin Silva"/>
    <s v="Standard"/>
    <d v="2024-08-05T00:00:00"/>
    <x v="0"/>
    <n v="10"/>
    <x v="1"/>
    <x v="1"/>
    <x v="1"/>
    <x v="0"/>
    <n v="20"/>
    <n v="15"/>
    <n v="15"/>
  </r>
  <r>
    <n v="3393"/>
    <s v="Zacarias de Souza"/>
    <s v="Core"/>
    <d v="2024-08-06T00:00:00"/>
    <x v="1"/>
    <n v="5"/>
    <x v="0"/>
    <x v="1"/>
    <x v="1"/>
    <x v="1"/>
    <n v="0"/>
    <n v="1"/>
    <n v="4"/>
  </r>
  <r>
    <n v="3394"/>
    <s v="André Lima"/>
    <s v="Ultimate"/>
    <d v="2024-08-07T00:00:00"/>
    <x v="0"/>
    <n v="15"/>
    <x v="2"/>
    <x v="0"/>
    <x v="0"/>
    <x v="0"/>
    <n v="20"/>
    <n v="7"/>
    <n v="58"/>
  </r>
  <r>
    <n v="3395"/>
    <s v="Bianca Freitas"/>
    <s v="Standard"/>
    <d v="2024-08-08T00:00:00"/>
    <x v="1"/>
    <n v="10"/>
    <x v="0"/>
    <x v="1"/>
    <x v="1"/>
    <x v="0"/>
    <n v="20"/>
    <n v="10"/>
    <n v="20"/>
  </r>
  <r>
    <n v="3396"/>
    <s v="Caio Mendes"/>
    <s v="Core"/>
    <d v="2024-08-09T00:00:00"/>
    <x v="0"/>
    <n v="5"/>
    <x v="1"/>
    <x v="1"/>
    <x v="1"/>
    <x v="1"/>
    <n v="0"/>
    <n v="0"/>
    <n v="5"/>
  </r>
  <r>
    <n v="3397"/>
    <s v="Daniela Moura"/>
    <s v="Ultimate"/>
    <d v="2024-08-10T00:00:00"/>
    <x v="1"/>
    <n v="15"/>
    <x v="0"/>
    <x v="0"/>
    <x v="0"/>
    <x v="0"/>
    <n v="20"/>
    <n v="20"/>
    <n v="45"/>
  </r>
  <r>
    <n v="3398"/>
    <s v="Eduardo Costa"/>
    <s v="Standard"/>
    <d v="2024-08-11T00:00:00"/>
    <x v="0"/>
    <n v="10"/>
    <x v="2"/>
    <x v="1"/>
    <x v="1"/>
    <x v="0"/>
    <n v="20"/>
    <n v="15"/>
    <n v="15"/>
  </r>
  <r>
    <n v="3399"/>
    <s v="Fernanda Gomes"/>
    <s v="Core"/>
    <d v="2024-08-12T00:00:00"/>
    <x v="1"/>
    <n v="5"/>
    <x v="0"/>
    <x v="1"/>
    <x v="1"/>
    <x v="1"/>
    <n v="0"/>
    <n v="1"/>
    <n v="4"/>
  </r>
  <r>
    <n v="3400"/>
    <s v="Guilherme Souza"/>
    <s v="Ultimate"/>
    <d v="2024-08-13T00:00:00"/>
    <x v="0"/>
    <n v="15"/>
    <x v="1"/>
    <x v="0"/>
    <x v="0"/>
    <x v="0"/>
    <n v="20"/>
    <n v="5"/>
    <n v="60"/>
  </r>
  <r>
    <n v="3401"/>
    <s v="Helena Ribeiro"/>
    <s v="Standard"/>
    <d v="2024-08-14T00:00:00"/>
    <x v="1"/>
    <n v="10"/>
    <x v="0"/>
    <x v="1"/>
    <x v="1"/>
    <x v="0"/>
    <n v="20"/>
    <n v="10"/>
    <n v="20"/>
  </r>
  <r>
    <n v="3402"/>
    <s v="Igor Santos"/>
    <s v="Core"/>
    <d v="2024-08-15T00:00:00"/>
    <x v="0"/>
    <n v="5"/>
    <x v="2"/>
    <x v="1"/>
    <x v="1"/>
    <x v="1"/>
    <n v="0"/>
    <n v="0"/>
    <n v="5"/>
  </r>
  <r>
    <n v="3403"/>
    <s v="João Carvalho"/>
    <s v="Ultimate"/>
    <d v="2024-08-16T00:00:00"/>
    <x v="1"/>
    <n v="15"/>
    <x v="0"/>
    <x v="0"/>
    <x v="0"/>
    <x v="0"/>
    <n v="20"/>
    <n v="3"/>
    <n v="62"/>
  </r>
  <r>
    <n v="3404"/>
    <s v="Klara Fagundes"/>
    <s v="Standard"/>
    <d v="2024-08-17T00:00:00"/>
    <x v="0"/>
    <n v="10"/>
    <x v="1"/>
    <x v="1"/>
    <x v="1"/>
    <x v="0"/>
    <n v="20"/>
    <n v="15"/>
    <n v="15"/>
  </r>
  <r>
    <n v="3405"/>
    <s v="Lúcia Mendonça"/>
    <s v="Core"/>
    <d v="2024-08-18T00:00:00"/>
    <x v="1"/>
    <n v="5"/>
    <x v="0"/>
    <x v="1"/>
    <x v="1"/>
    <x v="1"/>
    <n v="0"/>
    <n v="1"/>
    <n v="4"/>
  </r>
  <r>
    <n v="3406"/>
    <s v="Marcelo Novaes"/>
    <s v="Core"/>
    <d v="2024-08-19T00:00:00"/>
    <x v="0"/>
    <n v="5"/>
    <x v="0"/>
    <x v="1"/>
    <x v="1"/>
    <x v="1"/>
    <n v="0"/>
    <n v="0"/>
    <n v="5"/>
  </r>
  <r>
    <n v="3407"/>
    <s v="Nina Pacheco"/>
    <s v="Ultimate"/>
    <d v="2024-08-20T00:00:00"/>
    <x v="1"/>
    <n v="15"/>
    <x v="2"/>
    <x v="0"/>
    <x v="0"/>
    <x v="0"/>
    <n v="20"/>
    <n v="7"/>
    <n v="58"/>
  </r>
  <r>
    <n v="3408"/>
    <s v="Olívia Rios"/>
    <s v="Standard"/>
    <d v="2024-08-21T00:00:00"/>
    <x v="0"/>
    <n v="10"/>
    <x v="1"/>
    <x v="1"/>
    <x v="1"/>
    <x v="0"/>
    <n v="20"/>
    <n v="10"/>
    <n v="20"/>
  </r>
  <r>
    <n v="3409"/>
    <s v="Paulo Quintana"/>
    <s v="Core"/>
    <d v="2024-08-22T00:00:00"/>
    <x v="1"/>
    <n v="5"/>
    <x v="2"/>
    <x v="1"/>
    <x v="1"/>
    <x v="1"/>
    <n v="0"/>
    <n v="1"/>
    <n v="4"/>
  </r>
  <r>
    <n v="3410"/>
    <s v="Raquel Domingos"/>
    <s v="Ultimate"/>
    <d v="2024-08-23T00:00:00"/>
    <x v="0"/>
    <n v="15"/>
    <x v="0"/>
    <x v="0"/>
    <x v="0"/>
    <x v="0"/>
    <n v="20"/>
    <n v="15"/>
    <n v="50"/>
  </r>
  <r>
    <n v="3411"/>
    <s v="Samuel Viana"/>
    <s v="Standard"/>
    <d v="2024-08-24T00:00:00"/>
    <x v="1"/>
    <n v="10"/>
    <x v="0"/>
    <x v="1"/>
    <x v="1"/>
    <x v="0"/>
    <n v="20"/>
    <n v="5"/>
    <n v="25"/>
  </r>
  <r>
    <n v="3412"/>
    <s v="Tatiane Rocha"/>
    <s v="Core"/>
    <d v="2024-08-25T00:00:00"/>
    <x v="0"/>
    <n v="5"/>
    <x v="1"/>
    <x v="1"/>
    <x v="1"/>
    <x v="1"/>
    <n v="0"/>
    <n v="0"/>
    <n v="5"/>
  </r>
  <r>
    <n v="3413"/>
    <s v="Ulysses Farias"/>
    <s v="Ultimate"/>
    <d v="2024-08-26T00:00:00"/>
    <x v="1"/>
    <n v="15"/>
    <x v="2"/>
    <x v="0"/>
    <x v="0"/>
    <x v="0"/>
    <n v="20"/>
    <n v="20"/>
    <n v="45"/>
  </r>
  <r>
    <n v="3414"/>
    <s v="Vanessa Moreira"/>
    <s v="Standard"/>
    <d v="2024-08-27T00:00:00"/>
    <x v="0"/>
    <n v="10"/>
    <x v="2"/>
    <x v="1"/>
    <x v="1"/>
    <x v="0"/>
    <n v="20"/>
    <n v="12"/>
    <n v="18"/>
  </r>
  <r>
    <n v="3415"/>
    <s v="William Carvalho"/>
    <s v="Core"/>
    <d v="2024-08-28T00:00:00"/>
    <x v="1"/>
    <n v="5"/>
    <x v="0"/>
    <x v="1"/>
    <x v="1"/>
    <x v="1"/>
    <n v="0"/>
    <n v="2"/>
    <n v="3"/>
  </r>
  <r>
    <n v="3416"/>
    <s v="Ximena Barros"/>
    <s v="Ultimate"/>
    <d v="2024-08-29T00:00:00"/>
    <x v="0"/>
    <n v="15"/>
    <x v="1"/>
    <x v="0"/>
    <x v="0"/>
    <x v="0"/>
    <n v="20"/>
    <n v="5"/>
    <n v="60"/>
  </r>
  <r>
    <n v="3417"/>
    <s v="Yara Machado"/>
    <s v="Standard"/>
    <d v="2024-08-30T00:00:00"/>
    <x v="1"/>
    <n v="10"/>
    <x v="0"/>
    <x v="1"/>
    <x v="1"/>
    <x v="0"/>
    <n v="20"/>
    <n v="10"/>
    <n v="20"/>
  </r>
  <r>
    <n v="3418"/>
    <s v="Zacarias Costa"/>
    <s v="Core"/>
    <d v="2024-08-31T00:00:00"/>
    <x v="0"/>
    <n v="5"/>
    <x v="2"/>
    <x v="1"/>
    <x v="1"/>
    <x v="1"/>
    <n v="0"/>
    <n v="0"/>
    <n v="5"/>
  </r>
  <r>
    <n v="3419"/>
    <s v="André Lopes"/>
    <s v="Ultimate"/>
    <d v="2024-09-01T00:00:00"/>
    <x v="1"/>
    <n v="15"/>
    <x v="0"/>
    <x v="0"/>
    <x v="0"/>
    <x v="0"/>
    <n v="20"/>
    <n v="3"/>
    <n v="62"/>
  </r>
  <r>
    <n v="3420"/>
    <s v="Beatriz Souza"/>
    <s v="Standard"/>
    <d v="2024-09-02T00:00:00"/>
    <x v="0"/>
    <n v="10"/>
    <x v="1"/>
    <x v="1"/>
    <x v="1"/>
    <x v="0"/>
    <n v="20"/>
    <n v="15"/>
    <n v="15"/>
  </r>
  <r>
    <n v="3421"/>
    <s v="Caio Pereira"/>
    <s v="Core"/>
    <d v="2024-09-03T00:00:00"/>
    <x v="1"/>
    <n v="5"/>
    <x v="0"/>
    <x v="1"/>
    <x v="1"/>
    <x v="1"/>
    <n v="0"/>
    <n v="1"/>
    <n v="4"/>
  </r>
  <r>
    <n v="3422"/>
    <s v="Daniela Araújo"/>
    <s v="Ultimate"/>
    <d v="2024-09-04T00:00:00"/>
    <x v="0"/>
    <n v="15"/>
    <x v="2"/>
    <x v="0"/>
    <x v="0"/>
    <x v="0"/>
    <n v="20"/>
    <n v="7"/>
    <n v="58"/>
  </r>
  <r>
    <n v="3423"/>
    <s v="Eduardo Santos"/>
    <s v="Standard"/>
    <d v="2024-09-05T00:00:00"/>
    <x v="1"/>
    <n v="10"/>
    <x v="0"/>
    <x v="1"/>
    <x v="1"/>
    <x v="0"/>
    <n v="20"/>
    <n v="10"/>
    <n v="20"/>
  </r>
  <r>
    <n v="3424"/>
    <s v="Fernanda Lima"/>
    <s v="Core"/>
    <d v="2024-09-06T00:00:00"/>
    <x v="0"/>
    <n v="5"/>
    <x v="1"/>
    <x v="1"/>
    <x v="1"/>
    <x v="1"/>
    <n v="0"/>
    <n v="0"/>
    <n v="5"/>
  </r>
  <r>
    <n v="3425"/>
    <s v="Gabriel Teixeira"/>
    <s v="Ultimate"/>
    <d v="2024-09-07T00:00:00"/>
    <x v="1"/>
    <n v="15"/>
    <x v="0"/>
    <x v="0"/>
    <x v="0"/>
    <x v="0"/>
    <n v="20"/>
    <n v="20"/>
    <n v="45"/>
  </r>
  <r>
    <n v="3426"/>
    <s v="Helena Ribeiro"/>
    <s v="Standard"/>
    <d v="2024-09-08T00:00:00"/>
    <x v="0"/>
    <n v="10"/>
    <x v="2"/>
    <x v="1"/>
    <x v="1"/>
    <x v="0"/>
    <n v="20"/>
    <n v="15"/>
    <n v="15"/>
  </r>
  <r>
    <n v="3427"/>
    <s v="Igor Mendes"/>
    <s v="Core"/>
    <d v="2024-09-09T00:00:00"/>
    <x v="1"/>
    <n v="5"/>
    <x v="0"/>
    <x v="1"/>
    <x v="1"/>
    <x v="1"/>
    <n v="0"/>
    <n v="1"/>
    <n v="4"/>
  </r>
  <r>
    <n v="3428"/>
    <s v="Joana Silveira"/>
    <s v="Ultimate"/>
    <d v="2024-09-10T00:00:00"/>
    <x v="0"/>
    <n v="15"/>
    <x v="1"/>
    <x v="0"/>
    <x v="0"/>
    <x v="0"/>
    <n v="20"/>
    <n v="3"/>
    <n v="62"/>
  </r>
  <r>
    <n v="3429"/>
    <s v="Lucas Martins"/>
    <s v="Standard"/>
    <d v="2024-09-11T00:00:00"/>
    <x v="1"/>
    <n v="10"/>
    <x v="0"/>
    <x v="1"/>
    <x v="1"/>
    <x v="0"/>
    <n v="20"/>
    <n v="10"/>
    <n v="20"/>
  </r>
  <r>
    <n v="3430"/>
    <s v="Marcela Gouveia"/>
    <s v="Core"/>
    <d v="2024-09-12T00:00:00"/>
    <x v="0"/>
    <n v="5"/>
    <x v="2"/>
    <x v="1"/>
    <x v="1"/>
    <x v="1"/>
    <n v="0"/>
    <n v="0"/>
    <n v="5"/>
  </r>
  <r>
    <n v="3431"/>
    <s v="Nicolas Borges"/>
    <s v="Ultimate"/>
    <d v="2024-09-13T00:00:00"/>
    <x v="1"/>
    <n v="15"/>
    <x v="0"/>
    <x v="0"/>
    <x v="0"/>
    <x v="0"/>
    <n v="20"/>
    <n v="15"/>
    <n v="50"/>
  </r>
  <r>
    <n v="3432"/>
    <s v="Olivia Freitas"/>
    <s v="Standard"/>
    <d v="2024-09-14T00:00:00"/>
    <x v="0"/>
    <n v="10"/>
    <x v="1"/>
    <x v="1"/>
    <x v="1"/>
    <x v="0"/>
    <n v="20"/>
    <n v="15"/>
    <n v="15"/>
  </r>
  <r>
    <n v="3433"/>
    <s v="Paulo Nogueira"/>
    <s v="Core"/>
    <d v="2024-09-15T00:00:00"/>
    <x v="1"/>
    <n v="5"/>
    <x v="0"/>
    <x v="1"/>
    <x v="1"/>
    <x v="1"/>
    <n v="0"/>
    <n v="1"/>
    <n v="4"/>
  </r>
  <r>
    <n v="3434"/>
    <s v="Raquel Andrade"/>
    <s v="Ultimate"/>
    <d v="2024-09-16T00:00:00"/>
    <x v="0"/>
    <n v="15"/>
    <x v="2"/>
    <x v="0"/>
    <x v="0"/>
    <x v="0"/>
    <n v="20"/>
    <n v="7"/>
    <n v="58"/>
  </r>
  <r>
    <n v="3435"/>
    <s v="Sônia Carvalho"/>
    <s v="Standard"/>
    <d v="2024-09-17T00:00:00"/>
    <x v="1"/>
    <n v="10"/>
    <x v="0"/>
    <x v="1"/>
    <x v="1"/>
    <x v="0"/>
    <n v="20"/>
    <n v="10"/>
    <n v="20"/>
  </r>
  <r>
    <n v="3436"/>
    <s v="Tiago Rodrigues"/>
    <s v="Core"/>
    <d v="2024-09-18T00:00:00"/>
    <x v="0"/>
    <n v="5"/>
    <x v="0"/>
    <x v="1"/>
    <x v="1"/>
    <x v="1"/>
    <n v="0"/>
    <n v="0"/>
    <n v="5"/>
  </r>
  <r>
    <n v="3437"/>
    <s v="Ursula Monteiro"/>
    <s v="Ultimate"/>
    <d v="2024-09-19T00:00:00"/>
    <x v="1"/>
    <n v="15"/>
    <x v="2"/>
    <x v="0"/>
    <x v="0"/>
    <x v="0"/>
    <n v="20"/>
    <n v="7"/>
    <n v="58"/>
  </r>
  <r>
    <n v="3438"/>
    <s v="Vanessa Pereira"/>
    <s v="Standard"/>
    <d v="2024-09-20T00:00:00"/>
    <x v="0"/>
    <n v="10"/>
    <x v="1"/>
    <x v="1"/>
    <x v="1"/>
    <x v="0"/>
    <n v="20"/>
    <n v="10"/>
    <n v="20"/>
  </r>
  <r>
    <n v="3439"/>
    <s v="Walter Silva"/>
    <s v="Core"/>
    <d v="2024-09-21T00:00:00"/>
    <x v="1"/>
    <n v="5"/>
    <x v="2"/>
    <x v="1"/>
    <x v="1"/>
    <x v="1"/>
    <n v="0"/>
    <n v="1"/>
    <n v="4"/>
  </r>
  <r>
    <n v="3440"/>
    <s v="Xavier Almeida"/>
    <s v="Ultimate"/>
    <d v="2024-09-22T00:00:00"/>
    <x v="0"/>
    <n v="15"/>
    <x v="0"/>
    <x v="0"/>
    <x v="0"/>
    <x v="0"/>
    <n v="20"/>
    <n v="15"/>
    <n v="50"/>
  </r>
  <r>
    <n v="3441"/>
    <s v="Yasmine Correia"/>
    <s v="Standard"/>
    <d v="2024-09-23T00:00:00"/>
    <x v="1"/>
    <n v="10"/>
    <x v="0"/>
    <x v="1"/>
    <x v="1"/>
    <x v="0"/>
    <n v="20"/>
    <n v="5"/>
    <n v="25"/>
  </r>
  <r>
    <n v="3442"/>
    <s v="Zacarias Almeida"/>
    <s v="Core"/>
    <d v="2024-09-24T00:00:00"/>
    <x v="0"/>
    <n v="5"/>
    <x v="1"/>
    <x v="1"/>
    <x v="1"/>
    <x v="1"/>
    <n v="0"/>
    <n v="0"/>
    <n v="5"/>
  </r>
  <r>
    <n v="3443"/>
    <s v="Amanda Costa"/>
    <s v="Ultimate"/>
    <d v="2024-09-25T00:00:00"/>
    <x v="1"/>
    <n v="15"/>
    <x v="2"/>
    <x v="0"/>
    <x v="0"/>
    <x v="0"/>
    <n v="20"/>
    <n v="20"/>
    <n v="45"/>
  </r>
  <r>
    <n v="3444"/>
    <s v="Bruno Ferreira"/>
    <s v="Standard"/>
    <d v="2024-09-26T00:00:00"/>
    <x v="0"/>
    <n v="10"/>
    <x v="2"/>
    <x v="1"/>
    <x v="1"/>
    <x v="0"/>
    <n v="20"/>
    <n v="12"/>
    <n v="18"/>
  </r>
  <r>
    <n v="3445"/>
    <s v="Carla Dias"/>
    <s v="Core"/>
    <d v="2024-09-27T00:00:00"/>
    <x v="1"/>
    <n v="5"/>
    <x v="0"/>
    <x v="1"/>
    <x v="1"/>
    <x v="1"/>
    <n v="0"/>
    <n v="2"/>
    <n v="3"/>
  </r>
  <r>
    <n v="3446"/>
    <s v="Diogo Martins"/>
    <s v="Ultimate"/>
    <d v="2024-09-28T00:00:00"/>
    <x v="0"/>
    <n v="15"/>
    <x v="1"/>
    <x v="0"/>
    <x v="0"/>
    <x v="0"/>
    <n v="20"/>
    <n v="5"/>
    <n v="60"/>
  </r>
  <r>
    <n v="3447"/>
    <s v="Elisa Campos"/>
    <s v="Standard"/>
    <d v="2024-09-29T00:00:00"/>
    <x v="1"/>
    <n v="10"/>
    <x v="0"/>
    <x v="1"/>
    <x v="1"/>
    <x v="0"/>
    <n v="20"/>
    <n v="10"/>
    <n v="20"/>
  </r>
  <r>
    <n v="3448"/>
    <s v="Fabiana Lima"/>
    <s v="Core"/>
    <d v="2024-09-30T00:00:00"/>
    <x v="0"/>
    <n v="5"/>
    <x v="2"/>
    <x v="1"/>
    <x v="1"/>
    <x v="1"/>
    <n v="0"/>
    <n v="0"/>
    <n v="5"/>
  </r>
  <r>
    <n v="3449"/>
    <s v="Gabriel Santos"/>
    <s v="Ultimate"/>
    <d v="2024-10-01T00:00:00"/>
    <x v="1"/>
    <n v="15"/>
    <x v="0"/>
    <x v="0"/>
    <x v="0"/>
    <x v="0"/>
    <n v="20"/>
    <n v="3"/>
    <n v="62"/>
  </r>
  <r>
    <n v="3450"/>
    <s v="Helena Ferreira"/>
    <s v="Standard"/>
    <d v="2024-10-02T00:00:00"/>
    <x v="0"/>
    <n v="10"/>
    <x v="1"/>
    <x v="1"/>
    <x v="1"/>
    <x v="0"/>
    <n v="20"/>
    <n v="15"/>
    <n v="15"/>
  </r>
  <r>
    <n v="3451"/>
    <s v="Ígor Nunes"/>
    <s v="Core"/>
    <d v="2024-10-03T00:00:00"/>
    <x v="1"/>
    <n v="5"/>
    <x v="0"/>
    <x v="1"/>
    <x v="1"/>
    <x v="1"/>
    <n v="0"/>
    <n v="1"/>
    <n v="4"/>
  </r>
  <r>
    <n v="3452"/>
    <s v="Joana Silveira"/>
    <s v="Ultimate"/>
    <d v="2024-10-04T00:00:00"/>
    <x v="0"/>
    <n v="15"/>
    <x v="2"/>
    <x v="0"/>
    <x v="0"/>
    <x v="0"/>
    <n v="20"/>
    <n v="7"/>
    <n v="58"/>
  </r>
  <r>
    <n v="3453"/>
    <s v="Kléber Oliveira"/>
    <s v="Standard"/>
    <d v="2024-10-05T00:00:00"/>
    <x v="1"/>
    <n v="10"/>
    <x v="0"/>
    <x v="1"/>
    <x v="1"/>
    <x v="0"/>
    <n v="20"/>
    <n v="10"/>
    <n v="20"/>
  </r>
  <r>
    <n v="3454"/>
    <s v="Luciana Morais"/>
    <s v="Core"/>
    <d v="2024-10-06T00:00:00"/>
    <x v="0"/>
    <n v="5"/>
    <x v="1"/>
    <x v="1"/>
    <x v="1"/>
    <x v="1"/>
    <n v="0"/>
    <n v="0"/>
    <n v="5"/>
  </r>
  <r>
    <n v="3455"/>
    <s v="Marcos Vinícius"/>
    <s v="Ultimate"/>
    <d v="2024-10-07T00:00:00"/>
    <x v="1"/>
    <n v="15"/>
    <x v="0"/>
    <x v="0"/>
    <x v="0"/>
    <x v="0"/>
    <n v="20"/>
    <n v="20"/>
    <n v="45"/>
  </r>
  <r>
    <n v="3456"/>
    <s v="Natália Barros"/>
    <s v="Standard"/>
    <d v="2024-10-08T00:00:00"/>
    <x v="0"/>
    <n v="10"/>
    <x v="2"/>
    <x v="1"/>
    <x v="1"/>
    <x v="0"/>
    <n v="20"/>
    <n v="15"/>
    <n v="15"/>
  </r>
  <r>
    <n v="3457"/>
    <s v="Oscar Sampaio"/>
    <s v="Core"/>
    <d v="2024-10-09T00:00:00"/>
    <x v="1"/>
    <n v="5"/>
    <x v="0"/>
    <x v="1"/>
    <x v="1"/>
    <x v="1"/>
    <n v="0"/>
    <n v="1"/>
    <n v="4"/>
  </r>
  <r>
    <n v="3458"/>
    <s v="Patrícia Leite"/>
    <s v="Ultimate"/>
    <d v="2024-10-10T00:00:00"/>
    <x v="0"/>
    <n v="15"/>
    <x v="1"/>
    <x v="0"/>
    <x v="0"/>
    <x v="0"/>
    <n v="20"/>
    <n v="3"/>
    <n v="62"/>
  </r>
  <r>
    <n v="3459"/>
    <s v="Quênia Rocha"/>
    <s v="Standard"/>
    <d v="2024-10-11T00:00:00"/>
    <x v="1"/>
    <n v="10"/>
    <x v="0"/>
    <x v="1"/>
    <x v="1"/>
    <x v="0"/>
    <n v="20"/>
    <n v="10"/>
    <n v="20"/>
  </r>
  <r>
    <n v="3460"/>
    <s v="Rafael Torres"/>
    <s v="Core"/>
    <d v="2024-10-12T00:00:00"/>
    <x v="0"/>
    <n v="5"/>
    <x v="2"/>
    <x v="1"/>
    <x v="1"/>
    <x v="1"/>
    <n v="0"/>
    <n v="0"/>
    <n v="5"/>
  </r>
  <r>
    <n v="3461"/>
    <s v="Sandra Gouveia"/>
    <s v="Ultimate"/>
    <d v="2024-10-13T00:00:00"/>
    <x v="1"/>
    <n v="15"/>
    <x v="0"/>
    <x v="0"/>
    <x v="0"/>
    <x v="0"/>
    <n v="20"/>
    <n v="15"/>
    <n v="50"/>
  </r>
  <r>
    <n v="3462"/>
    <s v="Tiago Lacerda"/>
    <s v="Standard"/>
    <d v="2024-10-14T00:00:00"/>
    <x v="0"/>
    <n v="10"/>
    <x v="1"/>
    <x v="1"/>
    <x v="1"/>
    <x v="0"/>
    <n v="20"/>
    <n v="15"/>
    <n v="15"/>
  </r>
  <r>
    <n v="3463"/>
    <s v="Ursula Fonseca"/>
    <s v="Core"/>
    <d v="2024-10-15T00:00:00"/>
    <x v="1"/>
    <n v="5"/>
    <x v="0"/>
    <x v="1"/>
    <x v="1"/>
    <x v="1"/>
    <n v="0"/>
    <n v="1"/>
    <n v="4"/>
  </r>
  <r>
    <n v="3464"/>
    <s v="Vanessa Andrade"/>
    <s v="Ultimate"/>
    <d v="2024-10-16T00:00:00"/>
    <x v="0"/>
    <n v="15"/>
    <x v="2"/>
    <x v="0"/>
    <x v="0"/>
    <x v="0"/>
    <n v="20"/>
    <n v="7"/>
    <n v="58"/>
  </r>
  <r>
    <n v="3465"/>
    <s v="William Castro"/>
    <s v="Standard"/>
    <d v="2024-10-17T00:00:00"/>
    <x v="1"/>
    <n v="10"/>
    <x v="0"/>
    <x v="1"/>
    <x v="1"/>
    <x v="0"/>
    <n v="20"/>
    <n v="10"/>
    <n v="20"/>
  </r>
  <r>
    <n v="3466"/>
    <s v="Xavier Monteiro"/>
    <s v="Core"/>
    <d v="2024-10-18T00:00:00"/>
    <x v="0"/>
    <n v="5"/>
    <x v="1"/>
    <x v="1"/>
    <x v="1"/>
    <x v="1"/>
    <n v="0"/>
    <n v="0"/>
    <n v="5"/>
  </r>
  <r>
    <n v="3467"/>
    <s v="Yasmin Figueira"/>
    <s v="Ultimate"/>
    <d v="2024-10-19T00:00:00"/>
    <x v="1"/>
    <n v="15"/>
    <x v="0"/>
    <x v="0"/>
    <x v="0"/>
    <x v="0"/>
    <n v="20"/>
    <n v="15"/>
    <n v="50"/>
  </r>
  <r>
    <n v="3468"/>
    <s v="Zacarias Mendonça"/>
    <s v="Standard"/>
    <d v="2024-10-20T00:00:00"/>
    <x v="0"/>
    <n v="10"/>
    <x v="2"/>
    <x v="1"/>
    <x v="1"/>
    <x v="0"/>
    <n v="20"/>
    <n v="12"/>
    <n v="18"/>
  </r>
  <r>
    <n v="3469"/>
    <s v="Amanda Menezes"/>
    <s v="Core"/>
    <d v="2024-10-21T00:00:00"/>
    <x v="1"/>
    <n v="5"/>
    <x v="0"/>
    <x v="1"/>
    <x v="1"/>
    <x v="1"/>
    <n v="0"/>
    <n v="2"/>
    <n v="3"/>
  </r>
  <r>
    <n v="3470"/>
    <s v="Bruno Santos"/>
    <s v="Ultimate"/>
    <d v="2024-10-22T00:00:00"/>
    <x v="0"/>
    <n v="15"/>
    <x v="1"/>
    <x v="0"/>
    <x v="0"/>
    <x v="0"/>
    <n v="20"/>
    <n v="5"/>
    <n v="60"/>
  </r>
  <r>
    <n v="3471"/>
    <s v="Carla Ferreira"/>
    <s v="Standard"/>
    <d v="2024-10-23T00:00:00"/>
    <x v="1"/>
    <n v="10"/>
    <x v="0"/>
    <x v="1"/>
    <x v="1"/>
    <x v="0"/>
    <n v="20"/>
    <n v="10"/>
    <n v="20"/>
  </r>
  <r>
    <n v="3472"/>
    <s v="Diogo Alves"/>
    <s v="Core"/>
    <d v="2024-10-24T00:00:00"/>
    <x v="0"/>
    <n v="5"/>
    <x v="2"/>
    <x v="1"/>
    <x v="1"/>
    <x v="1"/>
    <n v="0"/>
    <n v="0"/>
    <n v="5"/>
  </r>
  <r>
    <n v="3473"/>
    <s v="Elisa Neves"/>
    <s v="Ultimate"/>
    <d v="2024-10-25T00:00:00"/>
    <x v="1"/>
    <n v="15"/>
    <x v="0"/>
    <x v="0"/>
    <x v="0"/>
    <x v="0"/>
    <n v="20"/>
    <n v="3"/>
    <n v="62"/>
  </r>
  <r>
    <n v="3474"/>
    <s v="Fabiano Pires"/>
    <s v="Standard"/>
    <d v="2024-10-26T00:00:00"/>
    <x v="0"/>
    <n v="10"/>
    <x v="1"/>
    <x v="1"/>
    <x v="1"/>
    <x v="0"/>
    <n v="20"/>
    <n v="15"/>
    <n v="15"/>
  </r>
  <r>
    <n v="3475"/>
    <s v="Giovana Ribeiro"/>
    <s v="Core"/>
    <d v="2024-10-27T00:00:00"/>
    <x v="1"/>
    <n v="5"/>
    <x v="0"/>
    <x v="1"/>
    <x v="1"/>
    <x v="1"/>
    <n v="0"/>
    <n v="1"/>
    <n v="4"/>
  </r>
  <r>
    <n v="3476"/>
    <s v="Hélio Costa"/>
    <s v="Ultimate"/>
    <d v="2024-10-28T00:00:00"/>
    <x v="0"/>
    <n v="15"/>
    <x v="2"/>
    <x v="0"/>
    <x v="0"/>
    <x v="0"/>
    <n v="20"/>
    <n v="7"/>
    <n v="58"/>
  </r>
  <r>
    <n v="3477"/>
    <s v="Íris Loureiro"/>
    <s v="Standard"/>
    <d v="2024-10-29T00:00:00"/>
    <x v="1"/>
    <n v="10"/>
    <x v="0"/>
    <x v="1"/>
    <x v="1"/>
    <x v="0"/>
    <n v="20"/>
    <n v="10"/>
    <n v="20"/>
  </r>
  <r>
    <n v="3478"/>
    <s v="João Pereira"/>
    <s v="Core"/>
    <d v="2024-10-30T00:00:00"/>
    <x v="0"/>
    <n v="5"/>
    <x v="1"/>
    <x v="1"/>
    <x v="1"/>
    <x v="1"/>
    <n v="0"/>
    <n v="0"/>
    <n v="5"/>
  </r>
  <r>
    <n v="3479"/>
    <s v="Klara Silva"/>
    <s v="Ultimate"/>
    <d v="2024-10-31T00:00:00"/>
    <x v="1"/>
    <n v="15"/>
    <x v="0"/>
    <x v="0"/>
    <x v="0"/>
    <x v="0"/>
    <n v="20"/>
    <n v="20"/>
    <n v="45"/>
  </r>
  <r>
    <n v="3480"/>
    <s v="Luciana Barros"/>
    <s v="Standard"/>
    <d v="2024-11-01T00:00:00"/>
    <x v="0"/>
    <n v="10"/>
    <x v="2"/>
    <x v="1"/>
    <x v="1"/>
    <x v="0"/>
    <n v="20"/>
    <n v="15"/>
    <n v="15"/>
  </r>
  <r>
    <n v="3481"/>
    <s v="Marcos Gomes"/>
    <s v="Core"/>
    <d v="2024-11-02T00:00:00"/>
    <x v="1"/>
    <n v="5"/>
    <x v="0"/>
    <x v="1"/>
    <x v="1"/>
    <x v="1"/>
    <n v="0"/>
    <n v="1"/>
    <n v="4"/>
  </r>
  <r>
    <n v="3482"/>
    <s v="Natália Soares"/>
    <s v="Ultimate"/>
    <d v="2024-11-03T00:00:00"/>
    <x v="0"/>
    <n v="15"/>
    <x v="1"/>
    <x v="0"/>
    <x v="0"/>
    <x v="0"/>
    <n v="20"/>
    <n v="3"/>
    <n v="62"/>
  </r>
  <r>
    <n v="3483"/>
    <s v="Oscar Machado"/>
    <s v="Standard"/>
    <d v="2024-11-04T00:00:00"/>
    <x v="1"/>
    <n v="10"/>
    <x v="0"/>
    <x v="1"/>
    <x v="1"/>
    <x v="0"/>
    <n v="20"/>
    <n v="10"/>
    <n v="20"/>
  </r>
  <r>
    <n v="3484"/>
    <s v="Patrícia Lima"/>
    <s v="Core"/>
    <d v="2024-11-05T00:00:00"/>
    <x v="0"/>
    <n v="5"/>
    <x v="2"/>
    <x v="1"/>
    <x v="1"/>
    <x v="1"/>
    <n v="0"/>
    <n v="0"/>
    <n v="5"/>
  </r>
  <r>
    <n v="3485"/>
    <s v="Quirino Neto"/>
    <s v="Ultimate"/>
    <d v="2024-11-06T00:00:00"/>
    <x v="1"/>
    <n v="15"/>
    <x v="0"/>
    <x v="0"/>
    <x v="0"/>
    <x v="0"/>
    <n v="20"/>
    <n v="15"/>
    <n v="50"/>
  </r>
  <r>
    <n v="3486"/>
    <s v="Rafaela Souza"/>
    <s v="Core"/>
    <d v="2024-11-07T00:00:00"/>
    <x v="0"/>
    <n v="5"/>
    <x v="0"/>
    <x v="1"/>
    <x v="1"/>
    <x v="1"/>
    <n v="0"/>
    <n v="0"/>
    <n v="5"/>
  </r>
  <r>
    <n v="3487"/>
    <s v="Sandro Almeida"/>
    <s v="Ultimate"/>
    <d v="2024-11-08T00:00:00"/>
    <x v="1"/>
    <n v="15"/>
    <x v="2"/>
    <x v="0"/>
    <x v="0"/>
    <x v="0"/>
    <n v="20"/>
    <n v="7"/>
    <n v="58"/>
  </r>
  <r>
    <n v="3488"/>
    <s v="Tânia Ribeiro"/>
    <s v="Standard"/>
    <d v="2024-11-09T00:00:00"/>
    <x v="0"/>
    <n v="10"/>
    <x v="1"/>
    <x v="1"/>
    <x v="1"/>
    <x v="0"/>
    <n v="20"/>
    <n v="10"/>
    <n v="20"/>
  </r>
  <r>
    <n v="3489"/>
    <s v="Ugo Dias"/>
    <s v="Core"/>
    <d v="2024-11-10T00:00:00"/>
    <x v="1"/>
    <n v="5"/>
    <x v="2"/>
    <x v="1"/>
    <x v="1"/>
    <x v="1"/>
    <n v="0"/>
    <n v="1"/>
    <n v="4"/>
  </r>
  <r>
    <n v="3490"/>
    <s v="Valéria Lima"/>
    <s v="Ultimate"/>
    <d v="2024-11-11T00:00:00"/>
    <x v="0"/>
    <n v="15"/>
    <x v="0"/>
    <x v="0"/>
    <x v="0"/>
    <x v="0"/>
    <n v="20"/>
    <n v="15"/>
    <n v="50"/>
  </r>
  <r>
    <n v="3491"/>
    <s v="William Fernandes"/>
    <s v="Standard"/>
    <d v="2024-11-12T00:00:00"/>
    <x v="1"/>
    <n v="10"/>
    <x v="0"/>
    <x v="1"/>
    <x v="1"/>
    <x v="0"/>
    <n v="20"/>
    <n v="5"/>
    <n v="25"/>
  </r>
  <r>
    <n v="3492"/>
    <s v="Xuxa Mendes"/>
    <s v="Core"/>
    <d v="2024-11-13T00:00:00"/>
    <x v="0"/>
    <n v="5"/>
    <x v="1"/>
    <x v="1"/>
    <x v="1"/>
    <x v="1"/>
    <n v="0"/>
    <n v="0"/>
    <n v="5"/>
  </r>
  <r>
    <n v="3493"/>
    <s v="Ygor Farias"/>
    <s v="Ultimate"/>
    <d v="2024-11-14T00:00:00"/>
    <x v="1"/>
    <n v="15"/>
    <x v="2"/>
    <x v="0"/>
    <x v="0"/>
    <x v="0"/>
    <n v="20"/>
    <n v="20"/>
    <n v="45"/>
  </r>
  <r>
    <n v="3494"/>
    <s v="Zilda Barros"/>
    <s v="Standard"/>
    <d v="2024-11-15T00:00:00"/>
    <x v="0"/>
    <n v="10"/>
    <x v="2"/>
    <x v="1"/>
    <x v="1"/>
    <x v="0"/>
    <n v="20"/>
    <n v="12"/>
    <n v="18"/>
  </r>
  <r>
    <n v="3495"/>
    <s v="Amanda Santos"/>
    <s v="Core"/>
    <d v="2024-11-16T00:00:00"/>
    <x v="1"/>
    <n v="5"/>
    <x v="0"/>
    <x v="1"/>
    <x v="1"/>
    <x v="1"/>
    <n v="0"/>
    <n v="2"/>
    <n v="3"/>
  </r>
  <r>
    <n v="3496"/>
    <s v="Bruno Costa"/>
    <s v="Ultimate"/>
    <d v="2024-11-17T00:00:00"/>
    <x v="0"/>
    <n v="15"/>
    <x v="1"/>
    <x v="0"/>
    <x v="0"/>
    <x v="0"/>
    <n v="20"/>
    <n v="5"/>
    <n v="60"/>
  </r>
  <r>
    <n v="3497"/>
    <s v="Carla Rodrigues"/>
    <s v="Standard"/>
    <d v="2024-11-18T00:00:00"/>
    <x v="1"/>
    <n v="10"/>
    <x v="0"/>
    <x v="1"/>
    <x v="1"/>
    <x v="0"/>
    <n v="20"/>
    <n v="10"/>
    <n v="20"/>
  </r>
  <r>
    <n v="3498"/>
    <s v="Diogo Pereira"/>
    <s v="Core"/>
    <d v="2024-11-19T00:00:00"/>
    <x v="0"/>
    <n v="5"/>
    <x v="2"/>
    <x v="1"/>
    <x v="1"/>
    <x v="1"/>
    <n v="0"/>
    <n v="0"/>
    <n v="5"/>
  </r>
  <r>
    <n v="3499"/>
    <s v="Elisa Correia"/>
    <s v="Ultimate"/>
    <d v="2024-11-20T00:00:00"/>
    <x v="1"/>
    <n v="15"/>
    <x v="0"/>
    <x v="0"/>
    <x v="0"/>
    <x v="0"/>
    <n v="20"/>
    <n v="3"/>
    <n v="62"/>
  </r>
  <r>
    <n v="3500"/>
    <s v="Fábio Lourenço"/>
    <s v="Standard"/>
    <d v="2024-11-21T00:00:00"/>
    <x v="0"/>
    <n v="10"/>
    <x v="1"/>
    <x v="1"/>
    <x v="1"/>
    <x v="0"/>
    <n v="20"/>
    <n v="15"/>
    <n v="15"/>
  </r>
  <r>
    <n v="3501"/>
    <s v="Gabriela Neves"/>
    <s v="Core"/>
    <d v="2024-11-22T00:00:00"/>
    <x v="1"/>
    <n v="5"/>
    <x v="0"/>
    <x v="1"/>
    <x v="1"/>
    <x v="1"/>
    <n v="0"/>
    <n v="1"/>
    <n v="4"/>
  </r>
  <r>
    <n v="3502"/>
    <s v="Henrique Gonçalves"/>
    <s v="Ultimate"/>
    <d v="2024-11-23T00:00:00"/>
    <x v="0"/>
    <n v="15"/>
    <x v="2"/>
    <x v="0"/>
    <x v="0"/>
    <x v="0"/>
    <n v="20"/>
    <n v="7"/>
    <n v="58"/>
  </r>
  <r>
    <n v="3503"/>
    <s v="Íris Santos"/>
    <s v="Standard"/>
    <d v="2024-11-24T00:00:00"/>
    <x v="1"/>
    <n v="10"/>
    <x v="0"/>
    <x v="1"/>
    <x v="1"/>
    <x v="0"/>
    <n v="20"/>
    <n v="10"/>
    <n v="20"/>
  </r>
  <r>
    <n v="3504"/>
    <s v="João Marcelo Alves"/>
    <s v="Core"/>
    <d v="2024-11-25T00:00:00"/>
    <x v="0"/>
    <n v="5"/>
    <x v="1"/>
    <x v="1"/>
    <x v="1"/>
    <x v="1"/>
    <n v="0"/>
    <n v="0"/>
    <n v="5"/>
  </r>
  <r>
    <n v="3505"/>
    <s v="Klara Fonseca"/>
    <s v="Ultimate"/>
    <d v="2024-11-26T00:00:00"/>
    <x v="1"/>
    <n v="15"/>
    <x v="0"/>
    <x v="0"/>
    <x v="0"/>
    <x v="0"/>
    <n v="20"/>
    <n v="20"/>
    <n v="45"/>
  </r>
  <r>
    <n v="3506"/>
    <s v="Lucas Mendonça"/>
    <s v="Standard"/>
    <d v="2024-11-27T00:00:00"/>
    <x v="0"/>
    <n v="10"/>
    <x v="2"/>
    <x v="1"/>
    <x v="1"/>
    <x v="0"/>
    <n v="20"/>
    <n v="15"/>
    <n v="15"/>
  </r>
  <r>
    <n v="3507"/>
    <s v="Marcela Torres"/>
    <s v="Core"/>
    <d v="2024-11-28T00:00:00"/>
    <x v="1"/>
    <n v="5"/>
    <x v="0"/>
    <x v="1"/>
    <x v="1"/>
    <x v="1"/>
    <n v="0"/>
    <n v="1"/>
    <n v="4"/>
  </r>
  <r>
    <n v="3508"/>
    <s v="Natália Castro"/>
    <s v="Ultimate"/>
    <d v="2024-11-29T00:00:00"/>
    <x v="0"/>
    <n v="15"/>
    <x v="1"/>
    <x v="0"/>
    <x v="0"/>
    <x v="0"/>
    <n v="20"/>
    <n v="3"/>
    <n v="62"/>
  </r>
  <r>
    <n v="3509"/>
    <s v="Oscar Martins"/>
    <s v="Standard"/>
    <d v="2024-11-30T00:00:00"/>
    <x v="1"/>
    <n v="10"/>
    <x v="0"/>
    <x v="1"/>
    <x v="1"/>
    <x v="0"/>
    <n v="20"/>
    <n v="10"/>
    <n v="20"/>
  </r>
  <r>
    <n v="3510"/>
    <s v="Patrícia Oliveira"/>
    <s v="Core"/>
    <d v="2024-12-01T00:00:00"/>
    <x v="0"/>
    <n v="5"/>
    <x v="2"/>
    <x v="1"/>
    <x v="1"/>
    <x v="1"/>
    <n v="0"/>
    <n v="0"/>
    <n v="5"/>
  </r>
  <r>
    <n v="3511"/>
    <s v="Quentin Nogueira"/>
    <s v="Ultimate"/>
    <d v="2024-12-02T00:00:00"/>
    <x v="1"/>
    <n v="15"/>
    <x v="0"/>
    <x v="0"/>
    <x v="0"/>
    <x v="0"/>
    <n v="20"/>
    <n v="15"/>
    <n v="50"/>
  </r>
  <r>
    <n v="3512"/>
    <s v="Raquel Silva"/>
    <s v="Standard"/>
    <d v="2024-12-03T00:00:00"/>
    <x v="0"/>
    <n v="10"/>
    <x v="1"/>
    <x v="1"/>
    <x v="1"/>
    <x v="0"/>
    <n v="20"/>
    <n v="15"/>
    <n v="15"/>
  </r>
  <r>
    <n v="3513"/>
    <s v="Sandro Gomes"/>
    <s v="Core"/>
    <d v="2024-12-04T00:00:00"/>
    <x v="1"/>
    <n v="5"/>
    <x v="0"/>
    <x v="1"/>
    <x v="1"/>
    <x v="1"/>
    <n v="0"/>
    <n v="1"/>
    <n v="4"/>
  </r>
  <r>
    <n v="3514"/>
    <s v="Tânia Machado"/>
    <s v="Ultimate"/>
    <d v="2024-12-05T00:00:00"/>
    <x v="0"/>
    <n v="15"/>
    <x v="2"/>
    <x v="0"/>
    <x v="0"/>
    <x v="0"/>
    <n v="20"/>
    <n v="7"/>
    <n v="58"/>
  </r>
  <r>
    <n v="3515"/>
    <s v="Ursula Silva"/>
    <s v="Standard"/>
    <d v="2024-12-06T00:00:00"/>
    <x v="1"/>
    <n v="10"/>
    <x v="0"/>
    <x v="1"/>
    <x v="1"/>
    <x v="0"/>
    <n v="20"/>
    <n v="10"/>
    <n v="20"/>
  </r>
  <r>
    <n v="3516"/>
    <s v="Vanessa Moraes"/>
    <s v="Core"/>
    <d v="2024-12-07T00:00:00"/>
    <x v="0"/>
    <n v="5"/>
    <x v="1"/>
    <x v="1"/>
    <x v="1"/>
    <x v="1"/>
    <n v="0"/>
    <n v="0"/>
    <n v="5"/>
  </r>
  <r>
    <n v="3517"/>
    <s v="William Carvalho"/>
    <s v="Ultimate"/>
    <d v="2024-12-08T00:00:00"/>
    <x v="1"/>
    <n v="15"/>
    <x v="0"/>
    <x v="0"/>
    <x v="0"/>
    <x v="0"/>
    <n v="20"/>
    <n v="20"/>
    <n v="45"/>
  </r>
  <r>
    <n v="3518"/>
    <s v="Xavier Reis"/>
    <s v="Standard"/>
    <d v="2024-12-09T00:00:00"/>
    <x v="0"/>
    <n v="10"/>
    <x v="2"/>
    <x v="1"/>
    <x v="1"/>
    <x v="0"/>
    <n v="20"/>
    <n v="12"/>
    <n v="18"/>
  </r>
  <r>
    <n v="3519"/>
    <s v="Yasmin Rocha"/>
    <s v="Core"/>
    <d v="2024-12-10T00:00:00"/>
    <x v="1"/>
    <n v="5"/>
    <x v="0"/>
    <x v="1"/>
    <x v="1"/>
    <x v="1"/>
    <n v="0"/>
    <n v="2"/>
    <n v="3"/>
  </r>
  <r>
    <n v="3520"/>
    <s v="Zacarias Duarte"/>
    <s v="Ultimate"/>
    <d v="2024-12-11T00:00:00"/>
    <x v="0"/>
    <n v="15"/>
    <x v="1"/>
    <x v="0"/>
    <x v="0"/>
    <x v="0"/>
    <n v="20"/>
    <n v="5"/>
    <n v="60"/>
  </r>
  <r>
    <n v="3521"/>
    <s v="Amanda Freitas"/>
    <s v="Standard"/>
    <d v="2024-12-12T00:00:00"/>
    <x v="1"/>
    <n v="10"/>
    <x v="0"/>
    <x v="1"/>
    <x v="1"/>
    <x v="0"/>
    <n v="20"/>
    <n v="10"/>
    <n v="20"/>
  </r>
  <r>
    <n v="3522"/>
    <s v="Bruno Almeida"/>
    <s v="Core"/>
    <d v="2024-12-13T00:00:00"/>
    <x v="0"/>
    <n v="5"/>
    <x v="2"/>
    <x v="1"/>
    <x v="1"/>
    <x v="1"/>
    <n v="0"/>
    <n v="0"/>
    <n v="5"/>
  </r>
  <r>
    <n v="3523"/>
    <s v="Carla Siqueira"/>
    <s v="Ultimate"/>
    <d v="2024-12-14T00:00:00"/>
    <x v="1"/>
    <n v="15"/>
    <x v="0"/>
    <x v="0"/>
    <x v="0"/>
    <x v="0"/>
    <n v="20"/>
    <n v="3"/>
    <n v="62"/>
  </r>
  <r>
    <n v="3524"/>
    <s v="Diogo Ramos"/>
    <s v="Standard"/>
    <d v="2024-12-15T00:00:00"/>
    <x v="0"/>
    <n v="10"/>
    <x v="1"/>
    <x v="1"/>
    <x v="1"/>
    <x v="0"/>
    <n v="20"/>
    <n v="15"/>
    <n v="15"/>
  </r>
  <r>
    <n v="3525"/>
    <s v="Elisa Magalhães"/>
    <s v="Core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83BD6-1ABB-4304-B3CA-25A65FAB9930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16:F17" firstHeaderRow="1" firstDataRow="1" firstDataCol="0" rowPageCount="1" colPageCount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9" hier="-1"/>
  </pageFields>
  <dataFields count="1">
    <dataField name="Soma de Minecraft Season Pass Price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E49B0-86CE-4906-91CC-D24679DF8AB3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10:F11" firstHeaderRow="1" firstDataRow="1" firstDataCol="0" rowPageCount="1" colPageCount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7" hier="-1"/>
  </pageFields>
  <dataFields count="1">
    <dataField name="Soma de EA Play Season Pass" fld="8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054C8-E92F-4740-9BC0-0A7A3FF6AA21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">
    <format dxfId="2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25CB5E9-6143-4986-92DE-7A357E2D0152}" sourceName="Subscription Type">
  <pivotTables>
    <pivotTable tabId="3" name="Tabela dinâmica2"/>
    <pivotTable tabId="3" name="Tabela dinâmica3"/>
    <pivotTable tabId="3" name="Tabela dinâmica4"/>
  </pivotTables>
  <data>
    <tabular pivotCacheId="10239079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E921FB6-0BFA-432E-8101-A623F63BB54B}" cache="SegmentaçãodeDados_Subscription_Type" caption="Subscrip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BA4E9EE-8A69-4E64-856B-F75FD1C72F64}" cache="SegmentaçãodeDados_Subscription_Type" caption="Subscription Type" columnCount="3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3">
  <autoFilter ref="A1:M296" xr:uid="{34E0E886-4200-4B36-97B3-63DB74FF40A0}"/>
  <tableColumns count="13">
    <tableColumn id="1" xr3:uid="{C4A90516-688A-46BF-9167-EA16C2A8A652}" name="Subscriber ID" dataDxfId="82"/>
    <tableColumn id="2" xr3:uid="{53DD39D0-2220-4121-9E9D-4EAA7E151C0F}" name="Name" dataDxfId="81"/>
    <tableColumn id="3" xr3:uid="{4F5FF271-4C57-4BE0-8F2C-F82C8551625C}" name="Plan" dataDxfId="80"/>
    <tableColumn id="4" xr3:uid="{8C17EB93-79B9-4E55-B8F7-BEB82F8253E9}" name="Start Date" dataDxfId="79"/>
    <tableColumn id="5" xr3:uid="{48CEDF9B-1689-482A-A828-5CCE7713264A}" name="Auto Renewal" dataDxfId="78"/>
    <tableColumn id="6" xr3:uid="{78B82374-9AA7-4E38-AE4F-78CDE6C83720}" name="Subscription Price" dataDxfId="77" dataCellStyle="Moeda"/>
    <tableColumn id="7" xr3:uid="{F2433F68-AF33-49D0-B1FB-19A396074EDE}" name="Subscription Type" dataDxfId="76"/>
    <tableColumn id="8" xr3:uid="{FD4D9C95-F6E5-4933-9068-A71FF7DF9343}" name="EA Play Season Pass" dataDxfId="75"/>
    <tableColumn id="13" xr3:uid="{978DD0D2-834E-4CE4-A39B-30976086932F}" name="EA Play Season Pass_x000a_Price" dataDxfId="74" dataCellStyle="Moeda"/>
    <tableColumn id="9" xr3:uid="{6E29F111-C395-4580-9DAD-3407D9E8B1A4}" name="Minecraft Season Pass" dataDxfId="73"/>
    <tableColumn id="10" xr3:uid="{EF544EAA-7F25-4FD5-A10E-8E62804DB9E3}" name="Minecraft Season Pass Price" dataDxfId="72" dataCellStyle="Moeda"/>
    <tableColumn id="11" xr3:uid="{7F6EB64A-1F07-4E48-9F0F-AC7D9DCD26F8}" name="Coupon Value" dataDxfId="71" dataCellStyle="Moeda"/>
    <tableColumn id="12" xr3:uid="{2B04ABC8-DE6F-426E-ADC0-D8AFC68CA58E}" name="Total Value" dataDxfId="7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6</v>
      </c>
      <c r="E5" s="7" t="s">
        <v>322</v>
      </c>
      <c r="F5" t="s">
        <v>5</v>
      </c>
    </row>
    <row r="6" spans="2:16" x14ac:dyDescent="0.25">
      <c r="B6" s="4" t="s">
        <v>321</v>
      </c>
      <c r="C6" t="s">
        <v>6</v>
      </c>
    </row>
    <row r="7" spans="2:16" x14ac:dyDescent="0.25">
      <c r="B7" s="5" t="s">
        <v>3</v>
      </c>
      <c r="C7" t="s">
        <v>7</v>
      </c>
    </row>
    <row r="8" spans="2:16" x14ac:dyDescent="0.25">
      <c r="B8" s="6" t="s">
        <v>4</v>
      </c>
      <c r="C8" t="s">
        <v>7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2" zoomScale="90" zoomScaleNormal="90" workbookViewId="0">
      <selection activeCell="H12" sqref="H1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25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20"/>
  <sheetViews>
    <sheetView showGridLines="0" workbookViewId="0">
      <selection activeCell="G6" sqref="G6"/>
    </sheetView>
  </sheetViews>
  <sheetFormatPr defaultRowHeight="15" x14ac:dyDescent="0.25"/>
  <cols>
    <col min="2" max="2" width="18.42578125" bestFit="1" customWidth="1"/>
    <col min="3" max="3" width="19.28515625" style="14" bestFit="1" customWidth="1"/>
    <col min="4" max="4" width="30.5703125" bestFit="1" customWidth="1"/>
    <col min="5" max="5" width="6.28515625" customWidth="1"/>
    <col min="6" max="6" width="35.140625" bestFit="1" customWidth="1"/>
    <col min="7" max="7" width="12.14062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7" x14ac:dyDescent="0.25">
      <c r="B2" t="s">
        <v>311</v>
      </c>
    </row>
    <row r="4" spans="2:7" x14ac:dyDescent="0.25">
      <c r="B4" t="s">
        <v>312</v>
      </c>
    </row>
    <row r="5" spans="2:7" x14ac:dyDescent="0.25">
      <c r="B5" t="s">
        <v>313</v>
      </c>
    </row>
    <row r="7" spans="2:7" x14ac:dyDescent="0.25">
      <c r="C7"/>
    </row>
    <row r="8" spans="2:7" x14ac:dyDescent="0.25">
      <c r="B8" s="12" t="s">
        <v>14</v>
      </c>
      <c r="C8" t="s">
        <v>22</v>
      </c>
      <c r="F8" s="12" t="s">
        <v>307</v>
      </c>
      <c r="G8" t="s">
        <v>317</v>
      </c>
    </row>
    <row r="9" spans="2:7" x14ac:dyDescent="0.25">
      <c r="G9" s="14"/>
    </row>
    <row r="10" spans="2:7" x14ac:dyDescent="0.25">
      <c r="B10" s="12" t="s">
        <v>314</v>
      </c>
      <c r="C10" t="s">
        <v>316</v>
      </c>
      <c r="F10" t="s">
        <v>319</v>
      </c>
    </row>
    <row r="11" spans="2:7" x14ac:dyDescent="0.25">
      <c r="B11" s="13" t="s">
        <v>21</v>
      </c>
      <c r="C11" s="18">
        <v>217</v>
      </c>
      <c r="F11" s="18">
        <v>600</v>
      </c>
      <c r="G11" s="19">
        <f>GETPIVOTDATA("EA Play Season Pass
Price",$F$10)</f>
        <v>600</v>
      </c>
    </row>
    <row r="12" spans="2:7" x14ac:dyDescent="0.25">
      <c r="B12" s="13" t="s">
        <v>17</v>
      </c>
      <c r="C12" s="18">
        <v>1537</v>
      </c>
    </row>
    <row r="13" spans="2:7" x14ac:dyDescent="0.25">
      <c r="B13" s="13" t="s">
        <v>315</v>
      </c>
      <c r="C13" s="18">
        <v>1754</v>
      </c>
    </row>
    <row r="14" spans="2:7" x14ac:dyDescent="0.25">
      <c r="F14" s="12" t="s">
        <v>28</v>
      </c>
      <c r="G14" t="s">
        <v>317</v>
      </c>
    </row>
    <row r="15" spans="2:7" x14ac:dyDescent="0.25">
      <c r="G15" s="14"/>
    </row>
    <row r="16" spans="2:7" x14ac:dyDescent="0.25">
      <c r="F16" t="s">
        <v>320</v>
      </c>
    </row>
    <row r="17" spans="3:7" x14ac:dyDescent="0.25">
      <c r="F17" s="18">
        <v>940</v>
      </c>
      <c r="G17" s="19">
        <f>GETPIVOTDATA("Minecraft Season Pass Price",$F$16)</f>
        <v>940</v>
      </c>
    </row>
    <row r="20" spans="3:7" x14ac:dyDescent="0.25">
      <c r="C20"/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L20"/>
  <sheetViews>
    <sheetView showGridLines="0" tabSelected="1" zoomScale="80" zoomScaleNormal="80" workbookViewId="0">
      <selection activeCell="L10" sqref="L10"/>
    </sheetView>
  </sheetViews>
  <sheetFormatPr defaultColWidth="0" defaultRowHeight="15" zeroHeight="1" x14ac:dyDescent="0.25"/>
  <cols>
    <col min="1" max="1" width="3.85546875" customWidth="1"/>
    <col min="2" max="2" width="65.28515625" customWidth="1"/>
    <col min="3" max="11" width="9.140625" customWidth="1"/>
    <col min="12" max="12" width="6.5703125" customWidth="1"/>
    <col min="13" max="16384" width="9.140625" hidden="1"/>
  </cols>
  <sheetData>
    <row r="1" spans="1:12" s="4" customFormat="1" ht="85.5" customHeight="1" x14ac:dyDescent="0.25"/>
    <row r="2" spans="1:12" ht="12" customHeight="1" x14ac:dyDescent="0.25"/>
    <row r="3" spans="1:12" ht="26.25" customHeight="1" thickBot="1" x14ac:dyDescent="0.3">
      <c r="A3" s="15"/>
      <c r="B3" s="15" t="s">
        <v>318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10.5" customHeight="1" thickTop="1" x14ac:dyDescent="0.25">
      <c r="B4" s="17"/>
    </row>
    <row r="5" spans="1:12" s="7" customFormat="1" ht="48" customHeight="1" x14ac:dyDescent="0.25"/>
    <row r="6" spans="1:12" s="7" customFormat="1" ht="48" customHeight="1" x14ac:dyDescent="0.25"/>
    <row r="7" spans="1:12" s="7" customFormat="1" ht="48" customHeight="1" x14ac:dyDescent="0.25"/>
    <row r="8" spans="1:12" s="7" customFormat="1" ht="48" customHeight="1" x14ac:dyDescent="0.25"/>
    <row r="9" spans="1:12" s="7" customFormat="1" ht="48" customHeight="1" x14ac:dyDescent="0.25"/>
    <row r="10" spans="1:12" s="7" customFormat="1" ht="48" customHeight="1" x14ac:dyDescent="0.25"/>
    <row r="11" spans="1:12" s="7" customFormat="1" ht="48" customHeight="1" x14ac:dyDescent="0.25"/>
    <row r="12" spans="1:12" s="7" customFormat="1" ht="33.75" customHeight="1" x14ac:dyDescent="0.25"/>
    <row r="13" spans="1:12" s="7" customFormat="1" ht="33.75" customHeight="1" x14ac:dyDescent="0.25"/>
    <row r="14" spans="1:12" s="7" customFormat="1" ht="33.75" customHeight="1" x14ac:dyDescent="0.25"/>
    <row r="15" spans="1:12" s="7" customFormat="1" ht="33.75" customHeight="1" x14ac:dyDescent="0.25"/>
    <row r="16" spans="1:12" s="7" customFormat="1" ht="33.75" customHeight="1" x14ac:dyDescent="0.25"/>
    <row r="17" s="7" customFormat="1" ht="33.75" customHeight="1" x14ac:dyDescent="0.25"/>
    <row r="18" s="7" customFormat="1" ht="33.75" customHeight="1" x14ac:dyDescent="0.25"/>
    <row r="19" s="16" customFormat="1" ht="33.75" customHeight="1" x14ac:dyDescent="0.25"/>
    <row r="20" s="16" customFormat="1" ht="33.75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Priscila Rodrigues</cp:lastModifiedBy>
  <dcterms:created xsi:type="dcterms:W3CDTF">2024-12-19T13:13:10Z</dcterms:created>
  <dcterms:modified xsi:type="dcterms:W3CDTF">2026-02-15T22:45:34Z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